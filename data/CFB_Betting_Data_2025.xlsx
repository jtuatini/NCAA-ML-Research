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NA" sheetId="1" state="visible" r:id="rId1"/>
    <sheet xmlns:r="http://schemas.openxmlformats.org/officeDocument/2006/relationships" name="GEORGIA" sheetId="2" state="visible" r:id="rId2"/>
    <sheet xmlns:r="http://schemas.openxmlformats.org/officeDocument/2006/relationships" name="OHIO STATE" sheetId="3" state="visible" r:id="rId3"/>
    <sheet xmlns:r="http://schemas.openxmlformats.org/officeDocument/2006/relationships" name="TEXAS TECH" sheetId="4" state="visible" r:id="rId4"/>
    <sheet xmlns:r="http://schemas.openxmlformats.org/officeDocument/2006/relationships" name="OREGON" sheetId="5" state="visible" r:id="rId5"/>
    <sheet xmlns:r="http://schemas.openxmlformats.org/officeDocument/2006/relationships" name="OLE MISS" sheetId="6" state="visible" r:id="rId6"/>
    <sheet xmlns:r="http://schemas.openxmlformats.org/officeDocument/2006/relationships" name="TEXAS A&amp;M" sheetId="7" state="visible" r:id="rId7"/>
    <sheet xmlns:r="http://schemas.openxmlformats.org/officeDocument/2006/relationships" name="OKLAHOMA" sheetId="8" state="visible" r:id="rId8"/>
    <sheet xmlns:r="http://schemas.openxmlformats.org/officeDocument/2006/relationships" name="NOTRE DAME" sheetId="9" state="visible" r:id="rId9"/>
    <sheet xmlns:r="http://schemas.openxmlformats.org/officeDocument/2006/relationships" name="MIAMI FL" sheetId="10" state="visible" r:id="rId10"/>
    <sheet xmlns:r="http://schemas.openxmlformats.org/officeDocument/2006/relationships" name="ALABAMA" sheetId="11" state="visible" r:id="rId11"/>
    <sheet xmlns:r="http://schemas.openxmlformats.org/officeDocument/2006/relationships" name="BYU" sheetId="12" state="visible" r:id="rId12"/>
    <sheet xmlns:r="http://schemas.openxmlformats.org/officeDocument/2006/relationships" name="VANDERBILT" sheetId="13" state="visible" r:id="rId13"/>
    <sheet xmlns:r="http://schemas.openxmlformats.org/officeDocument/2006/relationships" name="TEXAS" sheetId="14" state="visible" r:id="rId14"/>
    <sheet xmlns:r="http://schemas.openxmlformats.org/officeDocument/2006/relationships" name="UTAH" sheetId="15" state="visible" r:id="rId15"/>
    <sheet xmlns:r="http://schemas.openxmlformats.org/officeDocument/2006/relationships" name="USC" sheetId="16" state="visible" r:id="rId16"/>
    <sheet xmlns:r="http://schemas.openxmlformats.org/officeDocument/2006/relationships" name="TULANE" sheetId="17" state="visible" r:id="rId17"/>
    <sheet xmlns:r="http://schemas.openxmlformats.org/officeDocument/2006/relationships" name="MICHIGAN" sheetId="18" state="visible" r:id="rId18"/>
    <sheet xmlns:r="http://schemas.openxmlformats.org/officeDocument/2006/relationships" name="JAMES MADISON" sheetId="19" state="visible" r:id="rId19"/>
    <sheet xmlns:r="http://schemas.openxmlformats.org/officeDocument/2006/relationships" name="VIRGINIA" sheetId="20" state="visible" r:id="rId20"/>
    <sheet xmlns:r="http://schemas.openxmlformats.org/officeDocument/2006/relationships" name="ARIZONA" sheetId="21" state="visible" r:id="rId21"/>
    <sheet xmlns:r="http://schemas.openxmlformats.org/officeDocument/2006/relationships" name="NAVY" sheetId="22" state="visible" r:id="rId22"/>
    <sheet xmlns:r="http://schemas.openxmlformats.org/officeDocument/2006/relationships" name="NORTH TEXAS" sheetId="23" state="visible" r:id="rId23"/>
    <sheet xmlns:r="http://schemas.openxmlformats.org/officeDocument/2006/relationships" name="GEORGIA TECH" sheetId="24" state="visible" r:id="rId24"/>
    <sheet xmlns:r="http://schemas.openxmlformats.org/officeDocument/2006/relationships" name="MISSOURI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1</t>
        </is>
      </c>
      <c r="B1" s="1" t="inlineStr">
        <is>
          <t>Final Ranking Coaches Poll:</t>
        </is>
      </c>
      <c r="C1" s="1" t="inlineStr">
        <is>
          <t>Playoffs: Yes</t>
        </is>
      </c>
      <c r="D1" s="1" t="inlineStr">
        <is>
          <t>Conference: BIG 10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>
        <is>
          <t>Old Dominion</t>
        </is>
      </c>
      <c r="C4" t="n">
        <v>27</v>
      </c>
      <c r="D4" t="n">
        <v>14</v>
      </c>
      <c r="E4" t="n">
        <v>-23.5</v>
      </c>
      <c r="F4" t="n">
        <v>-111</v>
      </c>
      <c r="G4">
        <f>IFERROR(E4*(F4/-105),"")</f>
        <v/>
      </c>
      <c r="H4">
        <f>IFERROR((C4-D4)+E4,"")</f>
        <v/>
      </c>
      <c r="I4" t="n">
        <v>53.5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S4" t="n">
        <v>-2643</v>
      </c>
      <c r="T4">
        <f>IFERROR(IF(S4&gt;0,100/(100+S4),ABS(S4)/(100+ABS(S4))),"")</f>
        <v/>
      </c>
    </row>
    <row r="5">
      <c r="A5" t="n">
        <v>2</v>
      </c>
      <c r="B5" t="inlineStr">
        <is>
          <t>Kennesaw State</t>
        </is>
      </c>
      <c r="C5" t="n">
        <v>56</v>
      </c>
      <c r="D5" t="n">
        <v>9</v>
      </c>
      <c r="E5" t="n">
        <v>-35.5</v>
      </c>
      <c r="F5" t="n">
        <v>-107</v>
      </c>
      <c r="G5">
        <f>IFERROR(E5*(F5/-105),"")</f>
        <v/>
      </c>
      <c r="H5">
        <f>IFERROR((C5-D5)+E5,"")</f>
        <v/>
      </c>
      <c r="I5" t="n">
        <v>51.5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T5">
        <f>IFERROR(IF(S5&gt;0,100/(100+S5),ABS(S5)/(100+ABS(S5))),"")</f>
        <v/>
      </c>
    </row>
    <row r="6">
      <c r="A6" t="n">
        <v>3</v>
      </c>
      <c r="B6" t="inlineStr">
        <is>
          <t>Indiana State</t>
        </is>
      </c>
      <c r="C6" t="n">
        <v>73</v>
      </c>
      <c r="D6" t="n">
        <v>0</v>
      </c>
      <c r="E6" t="n">
        <v>-47.5</v>
      </c>
      <c r="F6" t="n">
        <v>-110</v>
      </c>
      <c r="G6">
        <f>IFERROR(E6*(F6/-105),"")</f>
        <v/>
      </c>
      <c r="H6">
        <f>IFERROR((C6-D6)+E6,"")</f>
        <v/>
      </c>
      <c r="I6" t="n">
        <v>60.5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T6">
        <f>IFERROR(IF(S6&gt;0,100/(100+S6),ABS(S6)/(100+ABS(S6))),"")</f>
        <v/>
      </c>
    </row>
    <row r="7">
      <c r="A7" t="n">
        <v>4</v>
      </c>
      <c r="B7" t="inlineStr">
        <is>
          <t>Illinois</t>
        </is>
      </c>
      <c r="C7" t="n">
        <v>63</v>
      </c>
      <c r="D7" t="n">
        <v>10</v>
      </c>
      <c r="E7" t="n">
        <v>-7</v>
      </c>
      <c r="F7" t="n">
        <v>-105</v>
      </c>
      <c r="G7">
        <f>IFERROR(E7*(F7/-105),"")</f>
        <v/>
      </c>
      <c r="H7">
        <f>IFERROR((C7-D7)+E7,"")</f>
        <v/>
      </c>
      <c r="I7" t="n">
        <v>51.5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S7" t="n">
        <v>-259</v>
      </c>
      <c r="T7">
        <f>IFERROR(IF(S7&gt;0,100/(100+S7),ABS(S7)/(100+ABS(S7))),"")</f>
        <v/>
      </c>
    </row>
    <row r="8">
      <c r="A8" t="n">
        <v>5</v>
      </c>
      <c r="B8" t="inlineStr">
        <is>
          <t>Iowa</t>
        </is>
      </c>
      <c r="C8" t="n">
        <v>20</v>
      </c>
      <c r="D8" t="n">
        <v>15</v>
      </c>
      <c r="E8" t="n">
        <v>-9</v>
      </c>
      <c r="F8" t="n">
        <v>-111</v>
      </c>
      <c r="G8">
        <f>IFERROR(E8*(F8/-105),"")</f>
        <v/>
      </c>
      <c r="H8">
        <f>IFERROR((C8-D8)+E8,"")</f>
        <v/>
      </c>
      <c r="I8" t="n">
        <v>47.5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S8" t="n">
        <v>-333</v>
      </c>
      <c r="T8">
        <f>IFERROR(IF(S8&gt;0,100/(100+S8),ABS(S8)/(100+ABS(S8))),"")</f>
        <v/>
      </c>
    </row>
    <row r="9">
      <c r="A9" t="n">
        <v>7</v>
      </c>
      <c r="B9" t="inlineStr">
        <is>
          <t>Oregon</t>
        </is>
      </c>
      <c r="C9" t="n">
        <v>30</v>
      </c>
      <c r="D9" t="n">
        <v>20</v>
      </c>
      <c r="E9" t="n">
        <v>7</v>
      </c>
      <c r="F9" t="n">
        <v>-110</v>
      </c>
      <c r="G9">
        <f>IFERROR(E9*(F9/-105),"")</f>
        <v/>
      </c>
      <c r="H9">
        <f>IFERROR((C9-D9)+E9,"")</f>
        <v/>
      </c>
      <c r="I9" t="n">
        <v>51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S9" t="n">
        <v>225</v>
      </c>
      <c r="T9">
        <f>IFERROR(IF(S9&gt;0,100/(100+S9),ABS(S9)/(100+ABS(S9))),"")</f>
        <v/>
      </c>
    </row>
    <row r="10">
      <c r="A10" t="n">
        <v>8</v>
      </c>
      <c r="B10" t="inlineStr">
        <is>
          <t>Michigan State</t>
        </is>
      </c>
      <c r="C10" t="n">
        <v>38</v>
      </c>
      <c r="D10" t="n">
        <v>13</v>
      </c>
      <c r="E10" t="n">
        <v>-26.5</v>
      </c>
      <c r="F10" t="n">
        <v>-110</v>
      </c>
      <c r="G10">
        <f>IFERROR(E10*(F10/-105),"")</f>
        <v/>
      </c>
      <c r="H10">
        <f>IFERROR((C10-D10)+E10,"")</f>
        <v/>
      </c>
      <c r="I10" t="n">
        <v>49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S10" t="n">
        <v>-5787</v>
      </c>
      <c r="T10">
        <f>IFERROR(IF(S10&gt;0,100/(100+S10),ABS(S10)/(100+ABS(S10))),"")</f>
        <v/>
      </c>
    </row>
    <row r="11">
      <c r="A11" t="n">
        <v>9</v>
      </c>
      <c r="B11" t="inlineStr">
        <is>
          <t>UCLA</t>
        </is>
      </c>
      <c r="C11" t="n">
        <v>56</v>
      </c>
      <c r="D11" t="n">
        <v>6</v>
      </c>
      <c r="E11" t="n">
        <v>-27</v>
      </c>
      <c r="F11" t="n">
        <v>-111</v>
      </c>
      <c r="G11">
        <f>IFERROR(E11*(F11/-105),"")</f>
        <v/>
      </c>
      <c r="H11">
        <f>IFERROR((C11-D11)+E11,"")</f>
        <v/>
      </c>
      <c r="I11" t="n">
        <v>52.5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S11" t="n">
        <v>-5177</v>
      </c>
      <c r="T11">
        <f>IFERROR(IF(S11&gt;0,100/(100+S11),ABS(S11)/(100+ABS(S11))),"")</f>
        <v/>
      </c>
    </row>
    <row r="12">
      <c r="A12" t="n">
        <v>10</v>
      </c>
      <c r="B12" t="inlineStr">
        <is>
          <t>Maryland</t>
        </is>
      </c>
      <c r="C12" t="n">
        <v>55</v>
      </c>
      <c r="D12" t="n">
        <v>10</v>
      </c>
      <c r="E12" t="n">
        <v>-21.5</v>
      </c>
      <c r="F12" t="n">
        <v>-112</v>
      </c>
      <c r="G12">
        <f>IFERROR(E12*(F12/-105),"")</f>
        <v/>
      </c>
      <c r="H12">
        <f>IFERROR((C12-D12)+E12,"")</f>
        <v/>
      </c>
      <c r="I12" t="n">
        <v>50.5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-2665</v>
      </c>
      <c r="T12">
        <f>IFERROR(IF(S12&gt;0,100/(100+S12),ABS(S12)/(100+ABS(S12))),"")</f>
        <v/>
      </c>
    </row>
    <row r="13">
      <c r="A13" t="n">
        <v>11</v>
      </c>
      <c r="B13" t="inlineStr">
        <is>
          <t>Penn State</t>
        </is>
      </c>
      <c r="C13" t="n">
        <v>27</v>
      </c>
      <c r="D13" t="n">
        <v>24</v>
      </c>
      <c r="E13" t="n">
        <v>-14</v>
      </c>
      <c r="F13" t="n">
        <v>-111</v>
      </c>
      <c r="G13">
        <f>IFERROR(E13*(F13/-105),"")</f>
        <v/>
      </c>
      <c r="H13">
        <f>IFERROR((C13-D13)+E13,"")</f>
        <v/>
      </c>
      <c r="I13" t="n">
        <v>51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S13" t="n">
        <v>-636</v>
      </c>
      <c r="T13">
        <f>IFERROR(IF(S13&gt;0,100/(100+S13),ABS(S13)/(100+ABS(S13))),"")</f>
        <v/>
      </c>
    </row>
    <row r="14">
      <c r="A14" t="n">
        <v>12</v>
      </c>
      <c r="B14" t="inlineStr">
        <is>
          <t>Wisconsin</t>
        </is>
      </c>
      <c r="C14" t="n">
        <v>31</v>
      </c>
      <c r="D14" t="n">
        <v>7</v>
      </c>
      <c r="E14" t="n">
        <v>-28.5</v>
      </c>
      <c r="F14" t="n">
        <v>-110</v>
      </c>
      <c r="G14">
        <f>IFERROR(E14*(F14/-105),"")</f>
        <v/>
      </c>
      <c r="H14">
        <f>IFERROR((C14-D14)+E14,"")</f>
        <v/>
      </c>
      <c r="I14" t="n">
        <v>44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S14" t="n">
        <v>-10000</v>
      </c>
      <c r="T14">
        <f>IFERROR(IF(S14&gt;0,100/(100+S14),ABS(S14)/(100+ABS(S14))),"")</f>
        <v/>
      </c>
    </row>
    <row r="15">
      <c r="A15" t="n">
        <v>14</v>
      </c>
      <c r="B15" t="inlineStr">
        <is>
          <t>Purdue</t>
        </is>
      </c>
      <c r="C15" t="n">
        <v>56</v>
      </c>
      <c r="D15" t="n">
        <v>3</v>
      </c>
      <c r="E15" t="n">
        <v>-28.5</v>
      </c>
      <c r="F15" t="n">
        <v>-109</v>
      </c>
      <c r="G15">
        <f>IFERROR(E15*(F15/-105),"")</f>
        <v/>
      </c>
      <c r="H15">
        <f>IFERROR((C15-D15)+E15,"")</f>
        <v/>
      </c>
      <c r="I15" t="n">
        <v>54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-7500</v>
      </c>
      <c r="T15">
        <f>IFERROR(IF(S15&gt;0,100/(100+S15),ABS(S15)/(100+ABS(S15))),"")</f>
        <v/>
      </c>
    </row>
    <row r="16">
      <c r="A16" t="n">
        <v>15</v>
      </c>
      <c r="B16" t="inlineStr">
        <is>
          <t>Ohio State</t>
        </is>
      </c>
      <c r="C16" t="n">
        <v>13</v>
      </c>
      <c r="D16" t="n">
        <v>10</v>
      </c>
      <c r="E16" t="n">
        <v>3.5</v>
      </c>
      <c r="F16" t="n">
        <v>-110</v>
      </c>
      <c r="G16">
        <f>IFERROR(E16*(F16/-105),"")</f>
        <v/>
      </c>
      <c r="H16">
        <f>IFERROR((C16-D16)+E16,"")</f>
        <v/>
      </c>
      <c r="I16" t="n">
        <v>45.5</v>
      </c>
      <c r="J16">
        <f>IFERROR(I16/2-E16/2,"")</f>
        <v/>
      </c>
      <c r="K16">
        <f>IFERROR(C16-J16,"")</f>
        <v/>
      </c>
      <c r="L16">
        <f>IFERROR(I16/2+E16/2,"")</f>
        <v/>
      </c>
      <c r="M16">
        <f>IFERROR(D16-L16,"")</f>
        <v/>
      </c>
      <c r="N16">
        <f>IFERROR((C16-D16)+G16,"")</f>
        <v/>
      </c>
      <c r="O16">
        <f>IFERROR(I16/2-G16/2,"")</f>
        <v/>
      </c>
      <c r="P16">
        <f>IFERROR(C16-O16,"")</f>
        <v/>
      </c>
      <c r="Q16">
        <f>IFERROR(I16/2+G16/2,"")</f>
        <v/>
      </c>
      <c r="R16">
        <f>IFERROR(D16-Q16,"")</f>
        <v/>
      </c>
      <c r="S16" t="n">
        <v>155</v>
      </c>
      <c r="T16">
        <f>IFERROR(IF(S16&gt;0,100/(100+S16),ABS(S16)/(100+ABS(S16))),"")</f>
        <v/>
      </c>
    </row>
    <row r="18">
      <c r="A18" s="3" t="inlineStr">
        <is>
          <t>Net</t>
        </is>
      </c>
      <c r="C18">
        <f>SUM(C4:C16)</f>
        <v/>
      </c>
      <c r="D18">
        <f>SUM(D4:D16)</f>
        <v/>
      </c>
      <c r="E18">
        <f>SUM(E4:E16)</f>
        <v/>
      </c>
      <c r="F18">
        <f>SUM(F4:F16)</f>
        <v/>
      </c>
      <c r="G18">
        <f>SUM(G4:G16)</f>
        <v/>
      </c>
      <c r="H18">
        <f>SUM(H4:H16)</f>
        <v/>
      </c>
      <c r="I18">
        <f>SUM(I4:I16)</f>
        <v/>
      </c>
      <c r="J18">
        <f>SUM(J4:J16)</f>
        <v/>
      </c>
      <c r="K18">
        <f>SUM(K4:K16)</f>
        <v/>
      </c>
      <c r="L18">
        <f>SUM(L4:L16)</f>
        <v/>
      </c>
      <c r="M18">
        <f>SUM(M4:M16)</f>
        <v/>
      </c>
      <c r="N18">
        <f>SUM(N4:N16)</f>
        <v/>
      </c>
      <c r="O18">
        <f>SUM(O4:O16)</f>
        <v/>
      </c>
      <c r="P18">
        <f>SUM(P4:P16)</f>
        <v/>
      </c>
      <c r="Q18">
        <f>SUM(Q4:Q16)</f>
        <v/>
      </c>
      <c r="R18">
        <f>SUM(R4:R16)</f>
        <v/>
      </c>
      <c r="S18">
        <f>SUM(S4:S16)</f>
        <v/>
      </c>
      <c r="T18">
        <f>SUM(T4:T16)</f>
        <v/>
      </c>
    </row>
    <row r="19">
      <c r="A19" s="3" t="inlineStr">
        <is>
          <t>Average</t>
        </is>
      </c>
      <c r="C19">
        <f>IFERROR(AVERAGE(C4:C16),"")</f>
        <v/>
      </c>
      <c r="D19">
        <f>IFERROR(AVERAGE(D4:D16),"")</f>
        <v/>
      </c>
      <c r="E19">
        <f>IFERROR(AVERAGE(E4:E16),"")</f>
        <v/>
      </c>
      <c r="F19">
        <f>IFERROR(AVERAGE(F4:F16),"")</f>
        <v/>
      </c>
      <c r="G19">
        <f>IFERROR(AVERAGE(G4:G16),"")</f>
        <v/>
      </c>
      <c r="H19">
        <f>IFERROR(AVERAGE(H4:H16),"")</f>
        <v/>
      </c>
      <c r="I19">
        <f>IFERROR(AVERAGE(I4:I16),"")</f>
        <v/>
      </c>
      <c r="J19">
        <f>IFERROR(AVERAGE(J4:J16),"")</f>
        <v/>
      </c>
      <c r="K19">
        <f>IFERROR(AVERAGE(K4:K16),"")</f>
        <v/>
      </c>
      <c r="L19">
        <f>IFERROR(AVERAGE(L4:L16),"")</f>
        <v/>
      </c>
      <c r="M19">
        <f>IFERROR(AVERAGE(M4:M16),"")</f>
        <v/>
      </c>
      <c r="N19">
        <f>IFERROR(AVERAGE(N4:N16),"")</f>
        <v/>
      </c>
      <c r="O19">
        <f>IFERROR(AVERAGE(O4:O16),"")</f>
        <v/>
      </c>
      <c r="P19">
        <f>IFERROR(AVERAGE(P4:P16),"")</f>
        <v/>
      </c>
      <c r="Q19">
        <f>IFERROR(AVERAGE(Q4:Q16),"")</f>
        <v/>
      </c>
      <c r="R19">
        <f>IFERROR(AVERAGE(R4:R16),"")</f>
        <v/>
      </c>
      <c r="S19">
        <f>IFERROR(AVERAGE(S4:S16),"")</f>
        <v/>
      </c>
      <c r="T19">
        <f>IFERROR(AVERAGE(T4:T16),"")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2</t>
        </is>
      </c>
      <c r="B1" s="1" t="inlineStr">
        <is>
          <t>Final Ranking Coaches Poll:</t>
        </is>
      </c>
      <c r="C1" s="1" t="inlineStr">
        <is>
          <t>Playoffs: Yes</t>
        </is>
      </c>
      <c r="D1" s="1" t="inlineStr">
        <is>
          <t>Conference: SEC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>
        <is>
          <t>Marshall</t>
        </is>
      </c>
      <c r="C4" t="n">
        <v>45</v>
      </c>
      <c r="D4" t="n">
        <v>7</v>
      </c>
      <c r="E4" t="n">
        <v>-38.5</v>
      </c>
      <c r="F4" t="n">
        <v>-108</v>
      </c>
      <c r="G4">
        <f>IFERROR(E4*(F4/-105),"")</f>
        <v/>
      </c>
      <c r="H4">
        <f>IFERROR((C4-D4)+E4,"")</f>
        <v/>
      </c>
      <c r="I4" t="n">
        <v>52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S4" t="n">
        <v>-10000</v>
      </c>
      <c r="T4">
        <f>IFERROR(IF(S4&gt;0,100/(100+S4),ABS(S4)/(100+ABS(S4))),"")</f>
        <v/>
      </c>
    </row>
    <row r="5">
      <c r="A5" t="n">
        <v>2</v>
      </c>
      <c r="B5" t="inlineStr">
        <is>
          <t>Austin Peay</t>
        </is>
      </c>
      <c r="C5" t="n">
        <v>28</v>
      </c>
      <c r="D5" t="n">
        <v>6</v>
      </c>
      <c r="E5" t="n">
        <v>-48</v>
      </c>
      <c r="F5" t="n">
        <v>-108</v>
      </c>
      <c r="G5">
        <f>IFERROR(E5*(F5/-105),"")</f>
        <v/>
      </c>
      <c r="H5">
        <f>IFERROR((C5-D5)+E5,"")</f>
        <v/>
      </c>
      <c r="I5" t="n">
        <v>56.5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T5">
        <f>IFERROR(IF(S5&gt;0,100/(100+S5),ABS(S5)/(100+ABS(S5))),"")</f>
        <v/>
      </c>
    </row>
    <row r="6">
      <c r="A6" t="n">
        <v>3</v>
      </c>
      <c r="B6" t="inlineStr">
        <is>
          <t>Tennessee</t>
        </is>
      </c>
      <c r="C6" t="n">
        <v>44</v>
      </c>
      <c r="D6" t="n">
        <v>41</v>
      </c>
      <c r="E6" t="n">
        <v>-3.5</v>
      </c>
      <c r="F6" t="n">
        <v>-103</v>
      </c>
      <c r="G6">
        <f>IFERROR(E6*(F6/-105),"")</f>
        <v/>
      </c>
      <c r="H6">
        <f>IFERROR((C6-D6)+E6,"")</f>
        <v/>
      </c>
      <c r="I6" t="n">
        <v>50.5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S6" t="n">
        <v>-172</v>
      </c>
      <c r="T6">
        <f>IFERROR(IF(S6&gt;0,100/(100+S6),ABS(S6)/(100+ABS(S6))),"")</f>
        <v/>
      </c>
    </row>
    <row r="7">
      <c r="A7" t="n">
        <v>5</v>
      </c>
      <c r="B7" t="inlineStr">
        <is>
          <t>Alabama</t>
        </is>
      </c>
      <c r="C7" t="n">
        <v>21</v>
      </c>
      <c r="D7" t="n">
        <v>24</v>
      </c>
      <c r="E7" t="n">
        <v>-2.5</v>
      </c>
      <c r="F7" t="n">
        <v>-110</v>
      </c>
      <c r="G7">
        <f>IFERROR(E7*(F7/-105),"")</f>
        <v/>
      </c>
      <c r="H7">
        <f>IFERROR((C7-D7)+E7,"")</f>
        <v/>
      </c>
      <c r="I7" t="n">
        <v>53.5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S7" t="n">
        <v>-136</v>
      </c>
      <c r="T7">
        <f>IFERROR(IF(S7&gt;0,100/(100+S7),ABS(S7)/(100+ABS(S7))),"")</f>
        <v/>
      </c>
    </row>
    <row r="8">
      <c r="A8" t="n">
        <v>6</v>
      </c>
      <c r="B8" t="inlineStr">
        <is>
          <t>Kentucky</t>
        </is>
      </c>
      <c r="C8" t="n">
        <v>35</v>
      </c>
      <c r="D8" t="n">
        <v>14</v>
      </c>
      <c r="E8" t="n">
        <v>-19.5</v>
      </c>
      <c r="F8" t="n">
        <v>-109</v>
      </c>
      <c r="G8">
        <f>IFERROR(E8*(F8/-105),"")</f>
        <v/>
      </c>
      <c r="H8">
        <f>IFERROR((C8-D8)+E8,"")</f>
        <v/>
      </c>
      <c r="I8" t="n">
        <v>48.5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S8" t="n">
        <v>-1554</v>
      </c>
      <c r="T8">
        <f>IFERROR(IF(S8&gt;0,100/(100+S8),ABS(S8)/(100+ABS(S8))),"")</f>
        <v/>
      </c>
    </row>
    <row r="9">
      <c r="A9" t="n">
        <v>7</v>
      </c>
      <c r="B9" t="inlineStr">
        <is>
          <t>Auburn</t>
        </is>
      </c>
      <c r="C9" t="n">
        <v>20</v>
      </c>
      <c r="D9" t="n">
        <v>10</v>
      </c>
      <c r="E9" t="n">
        <v>-4.5</v>
      </c>
      <c r="F9" t="n">
        <v>-112</v>
      </c>
      <c r="G9">
        <f>IFERROR(E9*(F9/-105),"")</f>
        <v/>
      </c>
      <c r="H9">
        <f>IFERROR((C9-D9)+E9,"")</f>
        <v/>
      </c>
      <c r="I9" t="n">
        <v>46.5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S9" t="n">
        <v>-207</v>
      </c>
      <c r="T9">
        <f>IFERROR(IF(S9&gt;0,100/(100+S9),ABS(S9)/(100+ABS(S9))),"")</f>
        <v/>
      </c>
    </row>
    <row r="10">
      <c r="A10" t="n">
        <v>8</v>
      </c>
      <c r="B10" t="inlineStr">
        <is>
          <t>Ole Miss</t>
        </is>
      </c>
      <c r="C10" t="n">
        <v>43</v>
      </c>
      <c r="D10" t="n">
        <v>35</v>
      </c>
      <c r="E10" t="n">
        <v>-7.5</v>
      </c>
      <c r="F10" t="n">
        <v>-106</v>
      </c>
      <c r="G10">
        <f>IFERROR(E10*(F10/-105),"")</f>
        <v/>
      </c>
      <c r="H10">
        <f>IFERROR((C10-D10)+E10,"")</f>
        <v/>
      </c>
      <c r="I10" t="n">
        <v>56.5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S10" t="n">
        <v>-279</v>
      </c>
      <c r="T10">
        <f>IFERROR(IF(S10&gt;0,100/(100+S10),ABS(S10)/(100+ABS(S10))),"")</f>
        <v/>
      </c>
    </row>
    <row r="11">
      <c r="A11" t="n">
        <v>10</v>
      </c>
      <c r="B11" t="inlineStr">
        <is>
          <t>Florida</t>
        </is>
      </c>
      <c r="C11" t="n">
        <v>24</v>
      </c>
      <c r="D11" t="n">
        <v>20</v>
      </c>
      <c r="E11" t="n">
        <v>-7</v>
      </c>
      <c r="F11" t="n">
        <v>-112</v>
      </c>
      <c r="G11">
        <f>IFERROR(E11*(F11/-105),"")</f>
        <v/>
      </c>
      <c r="H11">
        <f>IFERROR((C11-D11)+E11,"")</f>
        <v/>
      </c>
      <c r="I11" t="n">
        <v>50.5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S11" t="n">
        <v>-286</v>
      </c>
      <c r="T11">
        <f>IFERROR(IF(S11&gt;0,100/(100+S11),ABS(S11)/(100+ABS(S11))),"")</f>
        <v/>
      </c>
    </row>
    <row r="12">
      <c r="A12" t="n">
        <v>11</v>
      </c>
      <c r="B12" t="inlineStr">
        <is>
          <t>Mississippi State</t>
        </is>
      </c>
      <c r="C12" t="n">
        <v>41</v>
      </c>
      <c r="D12" t="n">
        <v>21</v>
      </c>
      <c r="E12" t="n">
        <v>-9.5</v>
      </c>
      <c r="F12" t="n">
        <v>-111</v>
      </c>
      <c r="G12">
        <f>IFERROR(E12*(F12/-105),"")</f>
        <v/>
      </c>
      <c r="H12">
        <f>IFERROR((C12-D12)+E12,"")</f>
        <v/>
      </c>
      <c r="I12" t="n">
        <v>56.5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-353</v>
      </c>
      <c r="T12">
        <f>IFERROR(IF(S12&gt;0,100/(100+S12),ABS(S12)/(100+ABS(S12))),"")</f>
        <v/>
      </c>
    </row>
    <row r="13">
      <c r="A13" t="n">
        <v>12</v>
      </c>
      <c r="B13" t="inlineStr">
        <is>
          <t>Texas</t>
        </is>
      </c>
      <c r="C13" t="n">
        <v>35</v>
      </c>
      <c r="D13" t="n">
        <v>10</v>
      </c>
      <c r="E13" t="n">
        <v>-4.5</v>
      </c>
      <c r="F13" t="n">
        <v>-112</v>
      </c>
      <c r="G13">
        <f>IFERROR(E13*(F13/-105),"")</f>
        <v/>
      </c>
      <c r="H13">
        <f>IFERROR((C13-D13)+E13,"")</f>
        <v/>
      </c>
      <c r="I13" t="n">
        <v>50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S13" t="n">
        <v>-181</v>
      </c>
      <c r="T13">
        <f>IFERROR(IF(S13&gt;0,100/(100+S13),ABS(S13)/(100+ABS(S13))),"")</f>
        <v/>
      </c>
    </row>
    <row r="14">
      <c r="A14" t="n">
        <v>13</v>
      </c>
      <c r="B14" t="inlineStr">
        <is>
          <t>Charlotte</t>
        </is>
      </c>
      <c r="C14" t="n">
        <v>35</v>
      </c>
      <c r="D14" t="n">
        <v>3</v>
      </c>
      <c r="E14" t="n">
        <v>-42.5</v>
      </c>
      <c r="F14" t="n">
        <v>-110</v>
      </c>
      <c r="G14">
        <f>IFERROR(E14*(F14/-105),"")</f>
        <v/>
      </c>
      <c r="H14">
        <f>IFERROR((C14-D14)+E14,"")</f>
        <v/>
      </c>
      <c r="I14" t="n">
        <v>53.5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T14">
        <f>IFERROR(IF(S14&gt;0,100/(100+S14),ABS(S14)/(100+ABS(S14))),"")</f>
        <v/>
      </c>
    </row>
    <row r="15">
      <c r="A15" t="n">
        <v>14</v>
      </c>
      <c r="B15" t="inlineStr">
        <is>
          <t>Georgia Tech</t>
        </is>
      </c>
      <c r="C15" t="n">
        <v>16</v>
      </c>
      <c r="D15" t="n">
        <v>9</v>
      </c>
      <c r="E15" t="n">
        <v>-16</v>
      </c>
      <c r="F15" t="n">
        <v>-112</v>
      </c>
      <c r="G15">
        <f>IFERROR(E15*(F15/-105),"")</f>
        <v/>
      </c>
      <c r="H15">
        <f>IFERROR((C15-D15)+E15,"")</f>
        <v/>
      </c>
      <c r="I15" t="n">
        <v>60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-770</v>
      </c>
      <c r="T15">
        <f>IFERROR(IF(S15&gt;0,100/(100+S15),ABS(S15)/(100+ABS(S15))),"")</f>
        <v/>
      </c>
    </row>
    <row r="16">
      <c r="A16" t="n">
        <v>15</v>
      </c>
      <c r="B16" t="inlineStr">
        <is>
          <t>Alabama</t>
        </is>
      </c>
      <c r="C16" t="n">
        <v>28</v>
      </c>
      <c r="D16" t="n">
        <v>7</v>
      </c>
      <c r="E16" t="n">
        <v>-1.5</v>
      </c>
      <c r="F16" t="n">
        <v>-112</v>
      </c>
      <c r="G16">
        <f>IFERROR(E16*(F16/-105),"")</f>
        <v/>
      </c>
      <c r="H16">
        <f>IFERROR((C16-D16)+E16,"")</f>
        <v/>
      </c>
      <c r="I16" t="n">
        <v>48.5</v>
      </c>
      <c r="J16">
        <f>IFERROR(I16/2-E16/2,"")</f>
        <v/>
      </c>
      <c r="K16">
        <f>IFERROR(C16-J16,"")</f>
        <v/>
      </c>
      <c r="L16">
        <f>IFERROR(I16/2+E16/2,"")</f>
        <v/>
      </c>
      <c r="M16">
        <f>IFERROR(D16-L16,"")</f>
        <v/>
      </c>
      <c r="N16">
        <f>IFERROR((C16-D16)+G16,"")</f>
        <v/>
      </c>
      <c r="O16">
        <f>IFERROR(I16/2-G16/2,"")</f>
        <v/>
      </c>
      <c r="P16">
        <f>IFERROR(C16-O16,"")</f>
        <v/>
      </c>
      <c r="Q16">
        <f>IFERROR(I16/2+G16/2,"")</f>
        <v/>
      </c>
      <c r="R16">
        <f>IFERROR(D16-Q16,"")</f>
        <v/>
      </c>
      <c r="S16" t="n">
        <v>-125</v>
      </c>
      <c r="T16">
        <f>IFERROR(IF(S16&gt;0,100/(100+S16),ABS(S16)/(100+ABS(S16))),"")</f>
        <v/>
      </c>
    </row>
    <row r="18">
      <c r="A18" s="3" t="inlineStr">
        <is>
          <t>Net</t>
        </is>
      </c>
      <c r="C18">
        <f>SUM(C4:C16)</f>
        <v/>
      </c>
      <c r="D18">
        <f>SUM(D4:D16)</f>
        <v/>
      </c>
      <c r="E18">
        <f>SUM(E4:E16)</f>
        <v/>
      </c>
      <c r="F18">
        <f>SUM(F4:F16)</f>
        <v/>
      </c>
      <c r="G18">
        <f>SUM(G4:G16)</f>
        <v/>
      </c>
      <c r="H18">
        <f>SUM(H4:H16)</f>
        <v/>
      </c>
      <c r="I18">
        <f>SUM(I4:I16)</f>
        <v/>
      </c>
      <c r="J18">
        <f>SUM(J4:J16)</f>
        <v/>
      </c>
      <c r="K18">
        <f>SUM(K4:K16)</f>
        <v/>
      </c>
      <c r="L18">
        <f>SUM(L4:L16)</f>
        <v/>
      </c>
      <c r="M18">
        <f>SUM(M4:M16)</f>
        <v/>
      </c>
      <c r="N18">
        <f>SUM(N4:N16)</f>
        <v/>
      </c>
      <c r="O18">
        <f>SUM(O4:O16)</f>
        <v/>
      </c>
      <c r="P18">
        <f>SUM(P4:P16)</f>
        <v/>
      </c>
      <c r="Q18">
        <f>SUM(Q4:Q16)</f>
        <v/>
      </c>
      <c r="R18">
        <f>SUM(R4:R16)</f>
        <v/>
      </c>
      <c r="S18">
        <f>SUM(S4:S16)</f>
        <v/>
      </c>
      <c r="T18">
        <f>SUM(T4:T16)</f>
        <v/>
      </c>
    </row>
    <row r="19">
      <c r="A19" s="3" t="inlineStr">
        <is>
          <t>Average</t>
        </is>
      </c>
      <c r="C19">
        <f>IFERROR(AVERAGE(C4:C16),"")</f>
        <v/>
      </c>
      <c r="D19">
        <f>IFERROR(AVERAGE(D4:D16),"")</f>
        <v/>
      </c>
      <c r="E19">
        <f>IFERROR(AVERAGE(E4:E16),"")</f>
        <v/>
      </c>
      <c r="F19">
        <f>IFERROR(AVERAGE(F4:F16),"")</f>
        <v/>
      </c>
      <c r="G19">
        <f>IFERROR(AVERAGE(G4:G16),"")</f>
        <v/>
      </c>
      <c r="H19">
        <f>IFERROR(AVERAGE(H4:H16),"")</f>
        <v/>
      </c>
      <c r="I19">
        <f>IFERROR(AVERAGE(I4:I16),"")</f>
        <v/>
      </c>
      <c r="J19">
        <f>IFERROR(AVERAGE(J4:J16),"")</f>
        <v/>
      </c>
      <c r="K19">
        <f>IFERROR(AVERAGE(K4:K16),"")</f>
        <v/>
      </c>
      <c r="L19">
        <f>IFERROR(AVERAGE(L4:L16),"")</f>
        <v/>
      </c>
      <c r="M19">
        <f>IFERROR(AVERAGE(M4:M16),"")</f>
        <v/>
      </c>
      <c r="N19">
        <f>IFERROR(AVERAGE(N4:N16),"")</f>
        <v/>
      </c>
      <c r="O19">
        <f>IFERROR(AVERAGE(O4:O16),"")</f>
        <v/>
      </c>
      <c r="P19">
        <f>IFERROR(AVERAGE(P4:P16),"")</f>
        <v/>
      </c>
      <c r="Q19">
        <f>IFERROR(AVERAGE(Q4:Q16),"")</f>
        <v/>
      </c>
      <c r="R19">
        <f>IFERROR(AVERAGE(R4:R16),"")</f>
        <v/>
      </c>
      <c r="S19">
        <f>IFERROR(AVERAGE(S4:S16),"")</f>
        <v/>
      </c>
      <c r="T19">
        <f>IFERROR(AVERAGE(T4:T16),"")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3</t>
        </is>
      </c>
      <c r="B1" s="1" t="inlineStr">
        <is>
          <t>Final Ranking Coaches Poll:</t>
        </is>
      </c>
      <c r="C1" s="1" t="inlineStr">
        <is>
          <t>Playoffs: Yes</t>
        </is>
      </c>
      <c r="D1" s="1" t="inlineStr">
        <is>
          <t>Conference: BIG 10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>
        <is>
          <t>Texas</t>
        </is>
      </c>
      <c r="C4" t="n">
        <v>14</v>
      </c>
      <c r="D4" t="n">
        <v>7</v>
      </c>
      <c r="E4" t="n">
        <v>-1.5</v>
      </c>
      <c r="F4" t="n">
        <v>-108</v>
      </c>
      <c r="G4">
        <f>IFERROR(E4*(F4/-105),"")</f>
        <v/>
      </c>
      <c r="H4">
        <f>IFERROR((C4-D4)+E4,"")</f>
        <v/>
      </c>
      <c r="I4" t="n">
        <v>46.5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S4" t="n">
        <v>-116</v>
      </c>
      <c r="T4">
        <f>IFERROR(IF(S4&gt;0,100/(100+S4),ABS(S4)/(100+ABS(S4))),"")</f>
        <v/>
      </c>
    </row>
    <row r="5">
      <c r="A5" t="n">
        <v>2</v>
      </c>
      <c r="B5" t="inlineStr">
        <is>
          <t>Grambling State</t>
        </is>
      </c>
      <c r="C5" t="n">
        <v>70</v>
      </c>
      <c r="D5" t="n">
        <v>0</v>
      </c>
      <c r="E5" t="n">
        <v>-55.5</v>
      </c>
      <c r="F5" t="n">
        <v>-112</v>
      </c>
      <c r="G5">
        <f>IFERROR(E5*(F5/-105),"")</f>
        <v/>
      </c>
      <c r="H5">
        <f>IFERROR((C5-D5)+E5,"")</f>
        <v/>
      </c>
      <c r="I5" t="n">
        <v>62.5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T5">
        <f>IFERROR(IF(S5&gt;0,100/(100+S5),ABS(S5)/(100+ABS(S5))),"")</f>
        <v/>
      </c>
    </row>
    <row r="6">
      <c r="A6" t="n">
        <v>3</v>
      </c>
      <c r="B6" t="inlineStr">
        <is>
          <t>Ohio</t>
        </is>
      </c>
      <c r="C6" t="n">
        <v>37</v>
      </c>
      <c r="D6" t="n">
        <v>9</v>
      </c>
      <c r="E6" t="n">
        <v>-28</v>
      </c>
      <c r="F6" t="n">
        <v>-116</v>
      </c>
      <c r="G6">
        <f>IFERROR(E6*(F6/-105),"")</f>
        <v/>
      </c>
      <c r="H6">
        <f>IFERROR((C6-D6)+E6,"")</f>
        <v/>
      </c>
      <c r="I6" t="n">
        <v>49.5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S6" t="n">
        <v>-7445</v>
      </c>
      <c r="T6">
        <f>IFERROR(IF(S6&gt;0,100/(100+S6),ABS(S6)/(100+ABS(S6))),"")</f>
        <v/>
      </c>
    </row>
    <row r="7">
      <c r="A7" t="n">
        <v>5</v>
      </c>
      <c r="B7" t="inlineStr">
        <is>
          <t>Washington</t>
        </is>
      </c>
      <c r="C7" t="n">
        <v>24</v>
      </c>
      <c r="D7" t="n">
        <v>6</v>
      </c>
      <c r="E7" t="n">
        <v>-9.5</v>
      </c>
      <c r="F7" t="n">
        <v>-115</v>
      </c>
      <c r="G7">
        <f>IFERROR(E7*(F7/-105),"")</f>
        <v/>
      </c>
      <c r="H7">
        <f>IFERROR((C7-D7)+E7,"")</f>
        <v/>
      </c>
      <c r="I7" t="n">
        <v>53.5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S7" t="n">
        <v>-369</v>
      </c>
      <c r="T7">
        <f>IFERROR(IF(S7&gt;0,100/(100+S7),ABS(S7)/(100+ABS(S7))),"")</f>
        <v/>
      </c>
    </row>
    <row r="8">
      <c r="A8" t="n">
        <v>6</v>
      </c>
      <c r="B8" t="inlineStr">
        <is>
          <t>Minnesota</t>
        </is>
      </c>
      <c r="C8" t="n">
        <v>42</v>
      </c>
      <c r="D8" t="n">
        <v>3</v>
      </c>
      <c r="E8" t="n">
        <v>-23.5</v>
      </c>
      <c r="F8" t="n">
        <v>-113</v>
      </c>
      <c r="G8">
        <f>IFERROR(E8*(F8/-105),"")</f>
        <v/>
      </c>
      <c r="H8">
        <f>IFERROR((C8-D8)+E8,"")</f>
        <v/>
      </c>
      <c r="I8" t="n">
        <v>43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S8" t="n">
        <v>-3627</v>
      </c>
      <c r="T8">
        <f>IFERROR(IF(S8&gt;0,100/(100+S8),ABS(S8)/(100+ABS(S8))),"")</f>
        <v/>
      </c>
    </row>
    <row r="9">
      <c r="A9" t="n">
        <v>7</v>
      </c>
      <c r="B9" t="inlineStr">
        <is>
          <t>Illinois</t>
        </is>
      </c>
      <c r="C9" t="n">
        <v>34</v>
      </c>
      <c r="D9" t="n">
        <v>16</v>
      </c>
      <c r="E9" t="n">
        <v>-14.5</v>
      </c>
      <c r="F9" t="n">
        <v>-110</v>
      </c>
      <c r="G9">
        <f>IFERROR(E9*(F9/-105),"")</f>
        <v/>
      </c>
      <c r="H9">
        <f>IFERROR((C9-D9)+E9,"")</f>
        <v/>
      </c>
      <c r="I9" t="n">
        <v>51.5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S9" t="n">
        <v>-704</v>
      </c>
      <c r="T9">
        <f>IFERROR(IF(S9&gt;0,100/(100+S9),ABS(S9)/(100+ABS(S9))),"")</f>
        <v/>
      </c>
    </row>
    <row r="10">
      <c r="A10" t="n">
        <v>8</v>
      </c>
      <c r="B10" t="inlineStr">
        <is>
          <t>Wisconsin</t>
        </is>
      </c>
      <c r="C10" t="n">
        <v>34</v>
      </c>
      <c r="D10" t="n">
        <v>0</v>
      </c>
      <c r="E10" t="n">
        <v>-25</v>
      </c>
      <c r="F10" t="n">
        <v>-109</v>
      </c>
      <c r="G10">
        <f>IFERROR(E10*(F10/-105),"")</f>
        <v/>
      </c>
      <c r="H10">
        <f>IFERROR((C10-D10)+E10,"")</f>
        <v/>
      </c>
      <c r="I10" t="n">
        <v>41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S10" t="n">
        <v>-6514</v>
      </c>
      <c r="T10">
        <f>IFERROR(IF(S10&gt;0,100/(100+S10),ABS(S10)/(100+ABS(S10))),"")</f>
        <v/>
      </c>
    </row>
    <row r="11">
      <c r="A11" t="n">
        <v>10</v>
      </c>
      <c r="B11" t="inlineStr">
        <is>
          <t>Penn State</t>
        </is>
      </c>
      <c r="C11" t="n">
        <v>38</v>
      </c>
      <c r="D11" t="n">
        <v>14</v>
      </c>
      <c r="E11" t="n">
        <v>-17.5</v>
      </c>
      <c r="F11" t="n">
        <v>-109</v>
      </c>
      <c r="G11">
        <f>IFERROR(E11*(F11/-105),"")</f>
        <v/>
      </c>
      <c r="H11">
        <f>IFERROR((C11-D11)+E11,"")</f>
        <v/>
      </c>
      <c r="I11" t="n">
        <v>44.5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S11" t="n">
        <v>-1281</v>
      </c>
      <c r="T11">
        <f>IFERROR(IF(S11&gt;0,100/(100+S11),ABS(S11)/(100+ABS(S11))),"")</f>
        <v/>
      </c>
    </row>
    <row r="12">
      <c r="A12" t="n">
        <v>11</v>
      </c>
      <c r="B12" t="inlineStr">
        <is>
          <t>Purdue</t>
        </is>
      </c>
      <c r="C12" t="n">
        <v>34</v>
      </c>
      <c r="D12" t="n">
        <v>10</v>
      </c>
      <c r="E12" t="n">
        <v>-29.5</v>
      </c>
      <c r="F12" t="n">
        <v>-113</v>
      </c>
      <c r="G12">
        <f>IFERROR(E12*(F12/-105),"")</f>
        <v/>
      </c>
      <c r="H12">
        <f>IFERROR((C12-D12)+E12,"")</f>
        <v/>
      </c>
      <c r="I12" t="n">
        <v>49.5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-9500</v>
      </c>
      <c r="T12">
        <f>IFERROR(IF(S12&gt;0,100/(100+S12),ABS(S12)/(100+ABS(S12))),"")</f>
        <v/>
      </c>
    </row>
    <row r="13">
      <c r="A13" t="n">
        <v>12</v>
      </c>
      <c r="B13" t="inlineStr">
        <is>
          <t>UCLA</t>
        </is>
      </c>
      <c r="C13" t="n">
        <v>48</v>
      </c>
      <c r="D13" t="n">
        <v>10</v>
      </c>
      <c r="E13" t="n">
        <v>-33.5</v>
      </c>
      <c r="F13" t="n">
        <v>-113</v>
      </c>
      <c r="G13">
        <f>IFERROR(E13*(F13/-105),"")</f>
        <v/>
      </c>
      <c r="H13">
        <f>IFERROR((C13-D13)+E13,"")</f>
        <v/>
      </c>
      <c r="I13" t="n">
        <v>46.5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S13" t="n">
        <v>-9333</v>
      </c>
      <c r="T13">
        <f>IFERROR(IF(S13&gt;0,100/(100+S13),ABS(S13)/(100+ABS(S13))),"")</f>
        <v/>
      </c>
    </row>
    <row r="14">
      <c r="A14" t="n">
        <v>13</v>
      </c>
      <c r="B14" t="inlineStr">
        <is>
          <t>Rutgers</t>
        </is>
      </c>
      <c r="C14" t="n">
        <v>42</v>
      </c>
      <c r="D14" t="n">
        <v>9</v>
      </c>
      <c r="E14" t="n">
        <v>-28.5</v>
      </c>
      <c r="F14" t="n">
        <v>-110</v>
      </c>
      <c r="G14">
        <f>IFERROR(E14*(F14/-105),"")</f>
        <v/>
      </c>
      <c r="H14">
        <f>IFERROR((C14-D14)+E14,"")</f>
        <v/>
      </c>
      <c r="I14" t="n">
        <v>54.5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S14" t="n">
        <v>-10000</v>
      </c>
      <c r="T14">
        <f>IFERROR(IF(S14&gt;0,100/(100+S14),ABS(S14)/(100+ABS(S14))),"")</f>
        <v/>
      </c>
    </row>
    <row r="15">
      <c r="A15" t="n">
        <v>14</v>
      </c>
      <c r="B15" t="inlineStr">
        <is>
          <t>Michigan</t>
        </is>
      </c>
      <c r="C15" t="n">
        <v>27</v>
      </c>
      <c r="D15" t="n">
        <v>9</v>
      </c>
      <c r="E15" t="n">
        <v>-9.5</v>
      </c>
      <c r="F15" t="n">
        <v>-116</v>
      </c>
      <c r="G15">
        <f>IFERROR(E15*(F15/-105),"")</f>
        <v/>
      </c>
      <c r="H15">
        <f>IFERROR((C15-D15)+E15,"")</f>
        <v/>
      </c>
      <c r="I15" t="n">
        <v>43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-396</v>
      </c>
      <c r="T15">
        <f>IFERROR(IF(S15&gt;0,100/(100+S15),ABS(S15)/(100+ABS(S15))),"")</f>
        <v/>
      </c>
    </row>
    <row r="16">
      <c r="A16" t="n">
        <v>15</v>
      </c>
      <c r="B16" t="inlineStr">
        <is>
          <t>Indiana</t>
        </is>
      </c>
      <c r="C16" t="n">
        <v>10</v>
      </c>
      <c r="D16" t="n">
        <v>13</v>
      </c>
      <c r="E16" t="n">
        <v>-3.5</v>
      </c>
      <c r="F16" t="n">
        <v>-111</v>
      </c>
      <c r="G16">
        <f>IFERROR(E16*(F16/-105),"")</f>
        <v/>
      </c>
      <c r="H16">
        <f>IFERROR((C16-D16)+E16,"")</f>
        <v/>
      </c>
      <c r="I16" t="n">
        <v>45.5</v>
      </c>
      <c r="J16">
        <f>IFERROR(I16/2-E16/2,"")</f>
        <v/>
      </c>
      <c r="K16">
        <f>IFERROR(C16-J16,"")</f>
        <v/>
      </c>
      <c r="L16">
        <f>IFERROR(I16/2+E16/2,"")</f>
        <v/>
      </c>
      <c r="M16">
        <f>IFERROR(D16-L16,"")</f>
        <v/>
      </c>
      <c r="N16">
        <f>IFERROR((C16-D16)+G16,"")</f>
        <v/>
      </c>
      <c r="O16">
        <f>IFERROR(I16/2-G16/2,"")</f>
        <v/>
      </c>
      <c r="P16">
        <f>IFERROR(C16-O16,"")</f>
        <v/>
      </c>
      <c r="Q16">
        <f>IFERROR(I16/2+G16/2,"")</f>
        <v/>
      </c>
      <c r="R16">
        <f>IFERROR(D16-Q16,"")</f>
        <v/>
      </c>
      <c r="S16" t="n">
        <v>-185</v>
      </c>
      <c r="T16">
        <f>IFERROR(IF(S16&gt;0,100/(100+S16),ABS(S16)/(100+ABS(S16))),"")</f>
        <v/>
      </c>
    </row>
    <row r="18">
      <c r="A18" s="3" t="inlineStr">
        <is>
          <t>Net</t>
        </is>
      </c>
      <c r="C18">
        <f>SUM(C4:C16)</f>
        <v/>
      </c>
      <c r="D18">
        <f>SUM(D4:D16)</f>
        <v/>
      </c>
      <c r="E18">
        <f>SUM(E4:E16)</f>
        <v/>
      </c>
      <c r="F18">
        <f>SUM(F4:F16)</f>
        <v/>
      </c>
      <c r="G18">
        <f>SUM(G4:G16)</f>
        <v/>
      </c>
      <c r="H18">
        <f>SUM(H4:H16)</f>
        <v/>
      </c>
      <c r="I18">
        <f>SUM(I4:I16)</f>
        <v/>
      </c>
      <c r="J18">
        <f>SUM(J4:J16)</f>
        <v/>
      </c>
      <c r="K18">
        <f>SUM(K4:K16)</f>
        <v/>
      </c>
      <c r="L18">
        <f>SUM(L4:L16)</f>
        <v/>
      </c>
      <c r="M18">
        <f>SUM(M4:M16)</f>
        <v/>
      </c>
      <c r="N18">
        <f>SUM(N4:N16)</f>
        <v/>
      </c>
      <c r="O18">
        <f>SUM(O4:O16)</f>
        <v/>
      </c>
      <c r="P18">
        <f>SUM(P4:P16)</f>
        <v/>
      </c>
      <c r="Q18">
        <f>SUM(Q4:Q16)</f>
        <v/>
      </c>
      <c r="R18">
        <f>SUM(R4:R16)</f>
        <v/>
      </c>
      <c r="S18">
        <f>SUM(S4:S16)</f>
        <v/>
      </c>
      <c r="T18">
        <f>SUM(T4:T16)</f>
        <v/>
      </c>
    </row>
    <row r="19">
      <c r="A19" s="3" t="inlineStr">
        <is>
          <t>Average</t>
        </is>
      </c>
      <c r="C19">
        <f>IFERROR(AVERAGE(C4:C16),"")</f>
        <v/>
      </c>
      <c r="D19">
        <f>IFERROR(AVERAGE(D4:D16),"")</f>
        <v/>
      </c>
      <c r="E19">
        <f>IFERROR(AVERAGE(E4:E16),"")</f>
        <v/>
      </c>
      <c r="F19">
        <f>IFERROR(AVERAGE(F4:F16),"")</f>
        <v/>
      </c>
      <c r="G19">
        <f>IFERROR(AVERAGE(G4:G16),"")</f>
        <v/>
      </c>
      <c r="H19">
        <f>IFERROR(AVERAGE(H4:H16),"")</f>
        <v/>
      </c>
      <c r="I19">
        <f>IFERROR(AVERAGE(I4:I16),"")</f>
        <v/>
      </c>
      <c r="J19">
        <f>IFERROR(AVERAGE(J4:J16),"")</f>
        <v/>
      </c>
      <c r="K19">
        <f>IFERROR(AVERAGE(K4:K16),"")</f>
        <v/>
      </c>
      <c r="L19">
        <f>IFERROR(AVERAGE(L4:L16),"")</f>
        <v/>
      </c>
      <c r="M19">
        <f>IFERROR(AVERAGE(M4:M16),"")</f>
        <v/>
      </c>
      <c r="N19">
        <f>IFERROR(AVERAGE(N4:N16),"")</f>
        <v/>
      </c>
      <c r="O19">
        <f>IFERROR(AVERAGE(O4:O16),"")</f>
        <v/>
      </c>
      <c r="P19">
        <f>IFERROR(AVERAGE(P4:P16),"")</f>
        <v/>
      </c>
      <c r="Q19">
        <f>IFERROR(AVERAGE(Q4:Q16),"")</f>
        <v/>
      </c>
      <c r="R19">
        <f>IFERROR(AVERAGE(R4:R16),"")</f>
        <v/>
      </c>
      <c r="S19">
        <f>IFERROR(AVERAGE(S4:S16),"")</f>
        <v/>
      </c>
      <c r="T19">
        <f>IFERROR(AVERAGE(T4:T16),"")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4</t>
        </is>
      </c>
      <c r="B1" s="1" t="inlineStr">
        <is>
          <t>Final Ranking Coaches Poll:</t>
        </is>
      </c>
      <c r="C1" s="1" t="inlineStr">
        <is>
          <t>Playoffs: Yes</t>
        </is>
      </c>
      <c r="D1" s="1" t="inlineStr">
        <is>
          <t>Conference: BIG 12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>
        <is>
          <t>Arkansas-Pine Bluff</t>
        </is>
      </c>
      <c r="C4" t="n">
        <v>67</v>
      </c>
      <c r="D4" t="n">
        <v>7</v>
      </c>
      <c r="E4" t="n">
        <v>-54.5</v>
      </c>
      <c r="F4" t="n">
        <v>-119</v>
      </c>
      <c r="G4">
        <f>IFERROR(E4*(F4/-105),"")</f>
        <v/>
      </c>
      <c r="H4">
        <f>IFERROR((C4-D4)+E4,"")</f>
        <v/>
      </c>
      <c r="I4" t="n">
        <v>63.5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S4" t="n">
        <v>-200</v>
      </c>
      <c r="T4">
        <f>IFERROR(IF(S4&gt;0,100/(100+S4),ABS(S4)/(100+ABS(S4))),"")</f>
        <v/>
      </c>
    </row>
    <row r="5">
      <c r="A5" t="n">
        <v>2</v>
      </c>
      <c r="B5" t="inlineStr">
        <is>
          <t>Kent State</t>
        </is>
      </c>
      <c r="C5" t="n">
        <v>62</v>
      </c>
      <c r="D5" t="n">
        <v>14</v>
      </c>
      <c r="E5" t="n">
        <v>-48.5</v>
      </c>
      <c r="F5" t="n">
        <v>-102</v>
      </c>
      <c r="G5">
        <f>IFERROR(E5*(F5/-105),"")</f>
        <v/>
      </c>
      <c r="H5">
        <f>IFERROR((C5-D5)+E5,"")</f>
        <v/>
      </c>
      <c r="I5" t="n">
        <v>59.5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T5">
        <f>IFERROR(IF(S5&gt;0,100/(100+S5),ABS(S5)/(100+ABS(S5))),"")</f>
        <v/>
      </c>
    </row>
    <row r="6">
      <c r="A6" t="n">
        <v>3</v>
      </c>
      <c r="B6" t="inlineStr">
        <is>
          <t>Oregon State</t>
        </is>
      </c>
      <c r="C6" t="n">
        <v>45</v>
      </c>
      <c r="D6" t="n">
        <v>14</v>
      </c>
      <c r="E6" t="n">
        <v>-24</v>
      </c>
      <c r="F6" t="n">
        <v>-111</v>
      </c>
      <c r="G6">
        <f>IFERROR(E6*(F6/-105),"")</f>
        <v/>
      </c>
      <c r="H6">
        <f>IFERROR((C6-D6)+E6,"")</f>
        <v/>
      </c>
      <c r="I6" t="n">
        <v>61.5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S6" t="n">
        <v>-2752</v>
      </c>
      <c r="T6">
        <f>IFERROR(IF(S6&gt;0,100/(100+S6),ABS(S6)/(100+ABS(S6))),"")</f>
        <v/>
      </c>
    </row>
    <row r="7">
      <c r="A7" t="n">
        <v>4</v>
      </c>
      <c r="B7" t="inlineStr">
        <is>
          <t>Utah</t>
        </is>
      </c>
      <c r="C7" t="n">
        <v>34</v>
      </c>
      <c r="D7" t="n">
        <v>10</v>
      </c>
      <c r="E7" t="n">
        <v>3.5</v>
      </c>
      <c r="F7" t="n">
        <v>-115</v>
      </c>
      <c r="G7">
        <f>IFERROR(E7*(F7/-105),"")</f>
        <v/>
      </c>
      <c r="H7">
        <f>IFERROR((C7-D7)+E7,"")</f>
        <v/>
      </c>
      <c r="I7" t="n">
        <v>59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S7" t="n">
        <v>138</v>
      </c>
      <c r="T7">
        <f>IFERROR(IF(S7&gt;0,100/(100+S7),ABS(S7)/(100+ABS(S7))),"")</f>
        <v/>
      </c>
    </row>
    <row r="8">
      <c r="A8" t="n">
        <v>6</v>
      </c>
      <c r="B8" t="inlineStr">
        <is>
          <t>Houston</t>
        </is>
      </c>
      <c r="C8" t="n">
        <v>35</v>
      </c>
      <c r="D8" t="n">
        <v>11</v>
      </c>
      <c r="E8" t="n">
        <v>-13.5</v>
      </c>
      <c r="F8" t="n">
        <v>-111</v>
      </c>
      <c r="G8">
        <f>IFERROR(E8*(F8/-105),"")</f>
        <v/>
      </c>
      <c r="H8">
        <f>IFERROR((C8-D8)+E8,"")</f>
        <v/>
      </c>
      <c r="I8" t="n">
        <v>51.5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S8" t="n">
        <v>-525</v>
      </c>
      <c r="T8">
        <f>IFERROR(IF(S8&gt;0,100/(100+S8),ABS(S8)/(100+ABS(S8))),"")</f>
        <v/>
      </c>
    </row>
    <row r="9">
      <c r="A9" t="n">
        <v>7</v>
      </c>
      <c r="B9" t="inlineStr">
        <is>
          <t>Kansas</t>
        </is>
      </c>
      <c r="C9" t="n">
        <v>42</v>
      </c>
      <c r="D9" t="n">
        <v>17</v>
      </c>
      <c r="E9" t="n">
        <v>-14</v>
      </c>
      <c r="F9" t="n">
        <v>-108</v>
      </c>
      <c r="G9">
        <f>IFERROR(E9*(F9/-105),"")</f>
        <v/>
      </c>
      <c r="H9">
        <f>IFERROR((C9-D9)+E9,"")</f>
        <v/>
      </c>
      <c r="I9" t="n">
        <v>58.5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S9" t="n">
        <v>-603</v>
      </c>
      <c r="T9">
        <f>IFERROR(IF(S9&gt;0,100/(100+S9),ABS(S9)/(100+ABS(S9))),"")</f>
        <v/>
      </c>
    </row>
    <row r="10">
      <c r="A10" t="n">
        <v>8</v>
      </c>
      <c r="B10" t="inlineStr">
        <is>
          <t>Arizona State</t>
        </is>
      </c>
      <c r="C10" t="n">
        <v>22</v>
      </c>
      <c r="D10" t="n">
        <v>26</v>
      </c>
      <c r="E10" t="n">
        <v>-7.5</v>
      </c>
      <c r="F10" t="n">
        <v>-111</v>
      </c>
      <c r="G10">
        <f>IFERROR(E10*(F10/-105),"")</f>
        <v/>
      </c>
      <c r="H10">
        <f>IFERROR((C10-D10)+E10,"")</f>
        <v/>
      </c>
      <c r="I10" t="n">
        <v>52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S10" t="n">
        <v>-306</v>
      </c>
      <c r="T10">
        <f>IFERROR(IF(S10&gt;0,100/(100+S10),ABS(S10)/(100+ABS(S10))),"")</f>
        <v/>
      </c>
    </row>
    <row r="11">
      <c r="A11" t="n">
        <v>9</v>
      </c>
      <c r="B11" t="inlineStr">
        <is>
          <t>Oklahoma State</t>
        </is>
      </c>
      <c r="C11" t="n">
        <v>42</v>
      </c>
      <c r="D11" t="n">
        <v>0</v>
      </c>
      <c r="E11" t="n">
        <v>-38</v>
      </c>
      <c r="F11" t="n">
        <v>-113</v>
      </c>
      <c r="G11">
        <f>IFERROR(E11*(F11/-105),"")</f>
        <v/>
      </c>
      <c r="H11">
        <f>IFERROR((C11-D11)+E11,"")</f>
        <v/>
      </c>
      <c r="I11" t="n">
        <v>56.5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T11">
        <f>IFERROR(IF(S11&gt;0,100/(100+S11),ABS(S11)/(100+ABS(S11))),"")</f>
        <v/>
      </c>
    </row>
    <row r="12">
      <c r="A12" t="n">
        <v>10</v>
      </c>
      <c r="B12" t="inlineStr">
        <is>
          <t>Kansas State</t>
        </is>
      </c>
      <c r="C12" t="n">
        <v>43</v>
      </c>
      <c r="D12" t="n">
        <v>20</v>
      </c>
      <c r="E12" t="n">
        <v>-7.5</v>
      </c>
      <c r="F12" t="n">
        <v>-107</v>
      </c>
      <c r="G12">
        <f>IFERROR(E12*(F12/-105),"")</f>
        <v/>
      </c>
      <c r="H12">
        <f>IFERROR((C12-D12)+E12,"")</f>
        <v/>
      </c>
      <c r="I12" t="n">
        <v>51.5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-288</v>
      </c>
      <c r="T12">
        <f>IFERROR(IF(S12&gt;0,100/(100+S12),ABS(S12)/(100+ABS(S12))),"")</f>
        <v/>
      </c>
    </row>
    <row r="13">
      <c r="A13" t="n">
        <v>11</v>
      </c>
      <c r="B13" t="inlineStr">
        <is>
          <t>BYU</t>
        </is>
      </c>
      <c r="C13" t="n">
        <v>29</v>
      </c>
      <c r="D13" t="n">
        <v>7</v>
      </c>
      <c r="E13" t="n">
        <v>-13.5</v>
      </c>
      <c r="F13" t="n">
        <v>-110</v>
      </c>
      <c r="G13">
        <f>IFERROR(E13*(F13/-105),"")</f>
        <v/>
      </c>
      <c r="H13">
        <f>IFERROR((C13-D13)+E13,"")</f>
        <v/>
      </c>
      <c r="I13" t="n">
        <v>50.5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S13" t="n">
        <v>-484</v>
      </c>
      <c r="T13">
        <f>IFERROR(IF(S13&gt;0,100/(100+S13),ABS(S13)/(100+ABS(S13))),"")</f>
        <v/>
      </c>
    </row>
    <row r="14">
      <c r="A14" t="n">
        <v>12</v>
      </c>
      <c r="B14" t="inlineStr">
        <is>
          <t>UCF</t>
        </is>
      </c>
      <c r="C14" t="n">
        <v>48</v>
      </c>
      <c r="D14" t="n">
        <v>9</v>
      </c>
      <c r="E14" t="n">
        <v>-24.5</v>
      </c>
      <c r="F14" t="n">
        <v>-105</v>
      </c>
      <c r="G14">
        <f>IFERROR(E14*(F14/-105),"")</f>
        <v/>
      </c>
      <c r="H14">
        <f>IFERROR((C14-D14)+E14,"")</f>
        <v/>
      </c>
      <c r="I14" t="n">
        <v>48.5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S14" t="n">
        <v>-4150</v>
      </c>
      <c r="T14">
        <f>IFERROR(IF(S14&gt;0,100/(100+S14),ABS(S14)/(100+ABS(S14))),"")</f>
        <v/>
      </c>
    </row>
    <row r="15">
      <c r="A15" t="n">
        <v>14</v>
      </c>
      <c r="B15" t="inlineStr">
        <is>
          <t>West Virginia</t>
        </is>
      </c>
      <c r="C15" t="n">
        <v>49</v>
      </c>
      <c r="D15" t="n">
        <v>0</v>
      </c>
      <c r="E15" t="n">
        <v>-24</v>
      </c>
      <c r="F15" t="n">
        <v>-110</v>
      </c>
      <c r="G15">
        <f>IFERROR(E15*(F15/-105),"")</f>
        <v/>
      </c>
      <c r="H15">
        <f>IFERROR((C15-D15)+E15,"")</f>
        <v/>
      </c>
      <c r="I15" t="n">
        <v>53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-2750</v>
      </c>
      <c r="T15">
        <f>IFERROR(IF(S15&gt;0,100/(100+S15),ABS(S15)/(100+ABS(S15))),"")</f>
        <v/>
      </c>
    </row>
    <row r="16">
      <c r="A16" t="n">
        <v>15</v>
      </c>
      <c r="B16" t="inlineStr">
        <is>
          <t>BYU</t>
        </is>
      </c>
      <c r="C16" t="n">
        <v>34</v>
      </c>
      <c r="D16" t="n">
        <v>7</v>
      </c>
      <c r="E16" t="n">
        <v>-13</v>
      </c>
      <c r="F16" t="n">
        <v>-112</v>
      </c>
      <c r="G16">
        <f>IFERROR(E16*(F16/-105),"")</f>
        <v/>
      </c>
      <c r="H16">
        <f>IFERROR((C16-D16)+E16,"")</f>
        <v/>
      </c>
      <c r="I16" t="n">
        <v>50.5</v>
      </c>
      <c r="J16">
        <f>IFERROR(I16/2-E16/2,"")</f>
        <v/>
      </c>
      <c r="K16">
        <f>IFERROR(C16-J16,"")</f>
        <v/>
      </c>
      <c r="L16">
        <f>IFERROR(I16/2+E16/2,"")</f>
        <v/>
      </c>
      <c r="M16">
        <f>IFERROR(D16-L16,"")</f>
        <v/>
      </c>
      <c r="N16">
        <f>IFERROR((C16-D16)+G16,"")</f>
        <v/>
      </c>
      <c r="O16">
        <f>IFERROR(I16/2-G16/2,"")</f>
        <v/>
      </c>
      <c r="P16">
        <f>IFERROR(C16-O16,"")</f>
        <v/>
      </c>
      <c r="Q16">
        <f>IFERROR(I16/2+G16/2,"")</f>
        <v/>
      </c>
      <c r="R16">
        <f>IFERROR(D16-Q16,"")</f>
        <v/>
      </c>
      <c r="S16" t="n">
        <v>-547</v>
      </c>
      <c r="T16">
        <f>IFERROR(IF(S16&gt;0,100/(100+S16),ABS(S16)/(100+ABS(S16))),"")</f>
        <v/>
      </c>
    </row>
    <row r="18">
      <c r="A18" s="3" t="inlineStr">
        <is>
          <t>Net</t>
        </is>
      </c>
      <c r="C18">
        <f>SUM(C4:C16)</f>
        <v/>
      </c>
      <c r="D18">
        <f>SUM(D4:D16)</f>
        <v/>
      </c>
      <c r="E18">
        <f>SUM(E4:E16)</f>
        <v/>
      </c>
      <c r="F18">
        <f>SUM(F4:F16)</f>
        <v/>
      </c>
      <c r="G18">
        <f>SUM(G4:G16)</f>
        <v/>
      </c>
      <c r="H18">
        <f>SUM(H4:H16)</f>
        <v/>
      </c>
      <c r="I18">
        <f>SUM(I4:I16)</f>
        <v/>
      </c>
      <c r="J18">
        <f>SUM(J4:J16)</f>
        <v/>
      </c>
      <c r="K18">
        <f>SUM(K4:K16)</f>
        <v/>
      </c>
      <c r="L18">
        <f>SUM(L4:L16)</f>
        <v/>
      </c>
      <c r="M18">
        <f>SUM(M4:M16)</f>
        <v/>
      </c>
      <c r="N18">
        <f>SUM(N4:N16)</f>
        <v/>
      </c>
      <c r="O18">
        <f>SUM(O4:O16)</f>
        <v/>
      </c>
      <c r="P18">
        <f>SUM(P4:P16)</f>
        <v/>
      </c>
      <c r="Q18">
        <f>SUM(Q4:Q16)</f>
        <v/>
      </c>
      <c r="R18">
        <f>SUM(R4:R16)</f>
        <v/>
      </c>
      <c r="S18">
        <f>SUM(S4:S16)</f>
        <v/>
      </c>
      <c r="T18">
        <f>SUM(T4:T16)</f>
        <v/>
      </c>
    </row>
    <row r="19">
      <c r="A19" s="3" t="inlineStr">
        <is>
          <t>Average</t>
        </is>
      </c>
      <c r="C19">
        <f>IFERROR(AVERAGE(C4:C16),"")</f>
        <v/>
      </c>
      <c r="D19">
        <f>IFERROR(AVERAGE(D4:D16),"")</f>
        <v/>
      </c>
      <c r="E19">
        <f>IFERROR(AVERAGE(E4:E16),"")</f>
        <v/>
      </c>
      <c r="F19">
        <f>IFERROR(AVERAGE(F4:F16),"")</f>
        <v/>
      </c>
      <c r="G19">
        <f>IFERROR(AVERAGE(G4:G16),"")</f>
        <v/>
      </c>
      <c r="H19">
        <f>IFERROR(AVERAGE(H4:H16),"")</f>
        <v/>
      </c>
      <c r="I19">
        <f>IFERROR(AVERAGE(I4:I16),"")</f>
        <v/>
      </c>
      <c r="J19">
        <f>IFERROR(AVERAGE(J4:J16),"")</f>
        <v/>
      </c>
      <c r="K19">
        <f>IFERROR(AVERAGE(K4:K16),"")</f>
        <v/>
      </c>
      <c r="L19">
        <f>IFERROR(AVERAGE(L4:L16),"")</f>
        <v/>
      </c>
      <c r="M19">
        <f>IFERROR(AVERAGE(M4:M16),"")</f>
        <v/>
      </c>
      <c r="N19">
        <f>IFERROR(AVERAGE(N4:N16),"")</f>
        <v/>
      </c>
      <c r="O19">
        <f>IFERROR(AVERAGE(O4:O16),"")</f>
        <v/>
      </c>
      <c r="P19">
        <f>IFERROR(AVERAGE(P4:P16),"")</f>
        <v/>
      </c>
      <c r="Q19">
        <f>IFERROR(AVERAGE(Q4:Q16),"")</f>
        <v/>
      </c>
      <c r="R19">
        <f>IFERROR(AVERAGE(R4:R16),"")</f>
        <v/>
      </c>
      <c r="S19">
        <f>IFERROR(AVERAGE(S4:S16),"")</f>
        <v/>
      </c>
      <c r="T19">
        <f>IFERROR(AVERAGE(T4:T16),"")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5</t>
        </is>
      </c>
      <c r="B1" s="1" t="inlineStr">
        <is>
          <t>Final Ranking Coaches Poll:</t>
        </is>
      </c>
      <c r="C1" s="1" t="inlineStr">
        <is>
          <t>Playoffs: Yes</t>
        </is>
      </c>
      <c r="D1" s="1" t="inlineStr">
        <is>
          <t>Conference: BIG 10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>
        <is>
          <t>Montana State</t>
        </is>
      </c>
      <c r="C4" t="n">
        <v>59</v>
      </c>
      <c r="D4" t="n">
        <v>13</v>
      </c>
      <c r="E4" t="n">
        <v>-28.5</v>
      </c>
      <c r="F4" t="n">
        <v>-111</v>
      </c>
      <c r="G4">
        <f>IFERROR(E4*(F4/-105),"")</f>
        <v/>
      </c>
      <c r="H4">
        <f>IFERROR((C4-D4)+E4,"")</f>
        <v/>
      </c>
      <c r="I4" t="n">
        <v>56.5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S4" t="n">
        <v>-8833</v>
      </c>
      <c r="T4">
        <f>IFERROR(IF(S4&gt;0,100/(100+S4),ABS(S4)/(100+ABS(S4))),"")</f>
        <v/>
      </c>
    </row>
    <row r="5">
      <c r="A5" t="n">
        <v>2</v>
      </c>
      <c r="B5" t="inlineStr">
        <is>
          <t>Oklahoma State</t>
        </is>
      </c>
      <c r="C5" t="n">
        <v>69</v>
      </c>
      <c r="D5" t="n">
        <v>3</v>
      </c>
      <c r="E5" t="n">
        <v>-28.5</v>
      </c>
      <c r="F5" t="n">
        <v>-109</v>
      </c>
      <c r="G5">
        <f>IFERROR(E5*(F5/-105),"")</f>
        <v/>
      </c>
      <c r="H5">
        <f>IFERROR((C5-D5)+E5,"")</f>
        <v/>
      </c>
      <c r="I5" t="n">
        <v>55.5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S5" t="n">
        <v>-8367</v>
      </c>
      <c r="T5">
        <f>IFERROR(IF(S5&gt;0,100/(100+S5),ABS(S5)/(100+ABS(S5))),"")</f>
        <v/>
      </c>
    </row>
    <row r="6">
      <c r="A6" t="n">
        <v>3</v>
      </c>
      <c r="B6" t="inlineStr">
        <is>
          <t>Northwestern</t>
        </is>
      </c>
      <c r="C6" t="n">
        <v>34</v>
      </c>
      <c r="D6" t="n">
        <v>14</v>
      </c>
      <c r="E6" t="n">
        <v>-24.5</v>
      </c>
      <c r="F6" t="n">
        <v>-113</v>
      </c>
      <c r="G6">
        <f>IFERROR(E6*(F6/-105),"")</f>
        <v/>
      </c>
      <c r="H6">
        <f>IFERROR((C6-D6)+E6,"")</f>
        <v/>
      </c>
      <c r="I6" t="n">
        <v>49.5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S6" t="n">
        <v>-6281</v>
      </c>
      <c r="T6">
        <f>IFERROR(IF(S6&gt;0,100/(100+S6),ABS(S6)/(100+ABS(S6))),"")</f>
        <v/>
      </c>
    </row>
    <row r="7">
      <c r="A7" t="n">
        <v>4</v>
      </c>
      <c r="B7" t="inlineStr">
        <is>
          <t>Oregon State</t>
        </is>
      </c>
      <c r="C7" t="n">
        <v>41</v>
      </c>
      <c r="D7" t="n">
        <v>7</v>
      </c>
      <c r="E7" t="n">
        <v>-32.5</v>
      </c>
      <c r="F7" t="n">
        <v>-112</v>
      </c>
      <c r="G7">
        <f>IFERROR(E7*(F7/-105),"")</f>
        <v/>
      </c>
      <c r="H7">
        <f>IFERROR((C7-D7)+E7,"")</f>
        <v/>
      </c>
      <c r="I7" t="n">
        <v>58.5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T7">
        <f>IFERROR(IF(S7&gt;0,100/(100+S7),ABS(S7)/(100+ABS(S7))),"")</f>
        <v/>
      </c>
    </row>
    <row r="8">
      <c r="A8" t="n">
        <v>5</v>
      </c>
      <c r="B8" t="inlineStr">
        <is>
          <t>Penn State</t>
        </is>
      </c>
      <c r="C8" t="n">
        <v>30</v>
      </c>
      <c r="D8" t="n">
        <v>24</v>
      </c>
      <c r="E8" t="n">
        <v>4.5</v>
      </c>
      <c r="F8" t="n">
        <v>-115</v>
      </c>
      <c r="G8">
        <f>IFERROR(E8*(F8/-105),"")</f>
        <v/>
      </c>
      <c r="H8">
        <f>IFERROR((C8-D8)+E8,"")</f>
        <v/>
      </c>
      <c r="I8" t="n">
        <v>53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S8" t="n">
        <v>153</v>
      </c>
      <c r="T8">
        <f>IFERROR(IF(S8&gt;0,100/(100+S8),ABS(S8)/(100+ABS(S8))),"")</f>
        <v/>
      </c>
    </row>
    <row r="9">
      <c r="A9" t="n">
        <v>7</v>
      </c>
      <c r="B9" t="inlineStr">
        <is>
          <t>Indiana</t>
        </is>
      </c>
      <c r="C9" t="n">
        <v>20</v>
      </c>
      <c r="D9" t="n">
        <v>30</v>
      </c>
      <c r="E9" t="n">
        <v>-7</v>
      </c>
      <c r="F9" t="n">
        <v>-113</v>
      </c>
      <c r="G9">
        <f>IFERROR(E9*(F9/-105),"")</f>
        <v/>
      </c>
      <c r="H9">
        <f>IFERROR((C9-D9)+E9,"")</f>
        <v/>
      </c>
      <c r="I9" t="n">
        <v>51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S9" t="n">
        <v>-279</v>
      </c>
      <c r="T9">
        <f>IFERROR(IF(S9&gt;0,100/(100+S9),ABS(S9)/(100+ABS(S9))),"")</f>
        <v/>
      </c>
    </row>
    <row r="10">
      <c r="A10" t="n">
        <v>8</v>
      </c>
      <c r="B10" t="inlineStr">
        <is>
          <t>Rutgers</t>
        </is>
      </c>
      <c r="C10" t="n">
        <v>56</v>
      </c>
      <c r="D10" t="n">
        <v>10</v>
      </c>
      <c r="E10" t="n">
        <v>-17.5</v>
      </c>
      <c r="F10" t="n">
        <v>-114</v>
      </c>
      <c r="G10">
        <f>IFERROR(E10*(F10/-105),"")</f>
        <v/>
      </c>
      <c r="H10">
        <f>IFERROR((C10-D10)+E10,"")</f>
        <v/>
      </c>
      <c r="I10" t="n">
        <v>61.5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S10" t="n">
        <v>-946</v>
      </c>
      <c r="T10">
        <f>IFERROR(IF(S10&gt;0,100/(100+S10),ABS(S10)/(100+ABS(S10))),"")</f>
        <v/>
      </c>
    </row>
    <row r="11">
      <c r="A11" t="n">
        <v>9</v>
      </c>
      <c r="B11" t="inlineStr">
        <is>
          <t>Wisconsin</t>
        </is>
      </c>
      <c r="C11" t="n">
        <v>21</v>
      </c>
      <c r="D11" t="n">
        <v>7</v>
      </c>
      <c r="E11" t="n">
        <v>-31.5</v>
      </c>
      <c r="F11" t="n">
        <v>-110</v>
      </c>
      <c r="G11">
        <f>IFERROR(E11*(F11/-105),"")</f>
        <v/>
      </c>
      <c r="H11">
        <f>IFERROR((C11-D11)+E11,"")</f>
        <v/>
      </c>
      <c r="I11" t="n">
        <v>44.5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T11">
        <f>IFERROR(IF(S11&gt;0,100/(100+S11),ABS(S11)/(100+ABS(S11))),"")</f>
        <v/>
      </c>
    </row>
    <row r="12">
      <c r="A12" t="n">
        <v>11</v>
      </c>
      <c r="B12" t="inlineStr">
        <is>
          <t>Iowa</t>
        </is>
      </c>
      <c r="C12" t="n">
        <v>18</v>
      </c>
      <c r="D12" t="n">
        <v>16</v>
      </c>
      <c r="E12" t="n">
        <v>-4.5</v>
      </c>
      <c r="F12" t="n">
        <v>-108</v>
      </c>
      <c r="G12">
        <f>IFERROR(E12*(F12/-105),"")</f>
        <v/>
      </c>
      <c r="H12">
        <f>IFERROR((C12-D12)+E12,"")</f>
        <v/>
      </c>
      <c r="I12" t="n">
        <v>41.5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-197</v>
      </c>
      <c r="T12">
        <f>IFERROR(IF(S12&gt;0,100/(100+S12),ABS(S12)/(100+ABS(S12))),"")</f>
        <v/>
      </c>
    </row>
    <row r="13">
      <c r="A13" t="n">
        <v>12</v>
      </c>
      <c r="B13" t="inlineStr">
        <is>
          <t>Minnesota</t>
        </is>
      </c>
      <c r="C13" t="n">
        <v>42</v>
      </c>
      <c r="D13" t="n">
        <v>13</v>
      </c>
      <c r="E13" t="n">
        <v>-26.5</v>
      </c>
      <c r="F13" t="n">
        <v>-111</v>
      </c>
      <c r="G13">
        <f>IFERROR(E13*(F13/-105),"")</f>
        <v/>
      </c>
      <c r="H13">
        <f>IFERROR((C13-D13)+E13,"")</f>
        <v/>
      </c>
      <c r="I13" t="n">
        <v>45.5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S13" t="n">
        <v>-5358</v>
      </c>
      <c r="T13">
        <f>IFERROR(IF(S13&gt;0,100/(100+S13),ABS(S13)/(100+ABS(S13))),"")</f>
        <v/>
      </c>
    </row>
    <row r="14">
      <c r="A14" t="n">
        <v>13</v>
      </c>
      <c r="B14" t="inlineStr">
        <is>
          <t>USC</t>
        </is>
      </c>
      <c r="C14" t="n">
        <v>42</v>
      </c>
      <c r="D14" t="n">
        <v>27</v>
      </c>
      <c r="E14" t="n">
        <v>-10.5</v>
      </c>
      <c r="F14" t="n">
        <v>-111</v>
      </c>
      <c r="G14">
        <f>IFERROR(E14*(F14/-105),"")</f>
        <v/>
      </c>
      <c r="H14">
        <f>IFERROR((C14-D14)+E14,"")</f>
        <v/>
      </c>
      <c r="I14" t="n">
        <v>59.5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S14" t="n">
        <v>-421</v>
      </c>
      <c r="T14">
        <f>IFERROR(IF(S14&gt;0,100/(100+S14),ABS(S14)/(100+ABS(S14))),"")</f>
        <v/>
      </c>
    </row>
    <row r="15">
      <c r="A15" t="n">
        <v>14</v>
      </c>
      <c r="B15" t="inlineStr">
        <is>
          <t>Washington</t>
        </is>
      </c>
      <c r="C15" t="n">
        <v>26</v>
      </c>
      <c r="D15" t="n">
        <v>14</v>
      </c>
      <c r="E15" t="n">
        <v>-7</v>
      </c>
      <c r="F15" t="n">
        <v>-109</v>
      </c>
      <c r="G15">
        <f>IFERROR(E15*(F15/-105),"")</f>
        <v/>
      </c>
      <c r="H15">
        <f>IFERROR((C15-D15)+E15,"")</f>
        <v/>
      </c>
      <c r="I15" t="n">
        <v>51.5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-259</v>
      </c>
      <c r="T15">
        <f>IFERROR(IF(S15&gt;0,100/(100+S15),ABS(S15)/(100+ABS(S15))),"")</f>
        <v/>
      </c>
    </row>
    <row r="17">
      <c r="A17" s="3" t="inlineStr">
        <is>
          <t>Net</t>
        </is>
      </c>
      <c r="C17">
        <f>SUM(C4:C15)</f>
        <v/>
      </c>
      <c r="D17">
        <f>SUM(D4:D15)</f>
        <v/>
      </c>
      <c r="E17">
        <f>SUM(E4:E15)</f>
        <v/>
      </c>
      <c r="F17">
        <f>SUM(F4:F15)</f>
        <v/>
      </c>
      <c r="G17">
        <f>SUM(G4:G15)</f>
        <v/>
      </c>
      <c r="H17">
        <f>SUM(H4:H15)</f>
        <v/>
      </c>
      <c r="I17">
        <f>SUM(I4:I15)</f>
        <v/>
      </c>
      <c r="J17">
        <f>SUM(J4:J15)</f>
        <v/>
      </c>
      <c r="K17">
        <f>SUM(K4:K15)</f>
        <v/>
      </c>
      <c r="L17">
        <f>SUM(L4:L15)</f>
        <v/>
      </c>
      <c r="M17">
        <f>SUM(M4:M15)</f>
        <v/>
      </c>
      <c r="N17">
        <f>SUM(N4:N15)</f>
        <v/>
      </c>
      <c r="O17">
        <f>SUM(O4:O15)</f>
        <v/>
      </c>
      <c r="P17">
        <f>SUM(P4:P15)</f>
        <v/>
      </c>
      <c r="Q17">
        <f>SUM(Q4:Q15)</f>
        <v/>
      </c>
      <c r="R17">
        <f>SUM(R4:R15)</f>
        <v/>
      </c>
      <c r="S17">
        <f>SUM(S4:S15)</f>
        <v/>
      </c>
      <c r="T17">
        <f>SUM(T4:T15)</f>
        <v/>
      </c>
    </row>
    <row r="18">
      <c r="A18" s="3" t="inlineStr">
        <is>
          <t>Average</t>
        </is>
      </c>
      <c r="C18">
        <f>IFERROR(AVERAGE(C4:C15),"")</f>
        <v/>
      </c>
      <c r="D18">
        <f>IFERROR(AVERAGE(D4:D15),"")</f>
        <v/>
      </c>
      <c r="E18">
        <f>IFERROR(AVERAGE(E4:E15),"")</f>
        <v/>
      </c>
      <c r="F18">
        <f>IFERROR(AVERAGE(F4:F15),"")</f>
        <v/>
      </c>
      <c r="G18">
        <f>IFERROR(AVERAGE(G4:G15),"")</f>
        <v/>
      </c>
      <c r="H18">
        <f>IFERROR(AVERAGE(H4:H15),"")</f>
        <v/>
      </c>
      <c r="I18">
        <f>IFERROR(AVERAGE(I4:I15),"")</f>
        <v/>
      </c>
      <c r="J18">
        <f>IFERROR(AVERAGE(J4:J15),"")</f>
        <v/>
      </c>
      <c r="K18">
        <f>IFERROR(AVERAGE(K4:K15),"")</f>
        <v/>
      </c>
      <c r="L18">
        <f>IFERROR(AVERAGE(L4:L15),"")</f>
        <v/>
      </c>
      <c r="M18">
        <f>IFERROR(AVERAGE(M4:M15),"")</f>
        <v/>
      </c>
      <c r="N18">
        <f>IFERROR(AVERAGE(N4:N15),"")</f>
        <v/>
      </c>
      <c r="O18">
        <f>IFERROR(AVERAGE(O4:O15),"")</f>
        <v/>
      </c>
      <c r="P18">
        <f>IFERROR(AVERAGE(P4:P15),"")</f>
        <v/>
      </c>
      <c r="Q18">
        <f>IFERROR(AVERAGE(Q4:Q15),"")</f>
        <v/>
      </c>
      <c r="R18">
        <f>IFERROR(AVERAGE(R4:R15),"")</f>
        <v/>
      </c>
      <c r="S18">
        <f>IFERROR(AVERAGE(S4:S15),"")</f>
        <v/>
      </c>
      <c r="T18">
        <f>IFERROR(AVERAGE(T4:T15),"")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6</t>
        </is>
      </c>
      <c r="B1" s="1" t="inlineStr">
        <is>
          <t>Final Ranking Coaches Poll:</t>
        </is>
      </c>
      <c r="C1" s="1" t="inlineStr">
        <is>
          <t>Playoffs: Yes</t>
        </is>
      </c>
      <c r="D1" s="1" t="inlineStr">
        <is>
          <t>Conference: SEC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>
        <is>
          <t>Georgia State</t>
        </is>
      </c>
      <c r="C4" t="n">
        <v>63</v>
      </c>
      <c r="D4" t="n">
        <v>7</v>
      </c>
      <c r="E4" t="n">
        <v>-33.5</v>
      </c>
      <c r="F4" t="n">
        <v>-109</v>
      </c>
      <c r="G4">
        <f>IFERROR(E4*(F4/-105),"")</f>
        <v/>
      </c>
      <c r="H4">
        <f>IFERROR((C4-D4)+E4,"")</f>
        <v/>
      </c>
      <c r="I4" t="n">
        <v>60.5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S4" t="n">
        <v>-6400</v>
      </c>
      <c r="T4">
        <f>IFERROR(IF(S4&gt;0,100/(100+S4),ABS(S4)/(100+ABS(S4))),"")</f>
        <v/>
      </c>
    </row>
    <row r="5">
      <c r="A5" t="n">
        <v>2</v>
      </c>
      <c r="B5" t="inlineStr">
        <is>
          <t>Kentucky</t>
        </is>
      </c>
      <c r="C5" t="n">
        <v>30</v>
      </c>
      <c r="D5" t="n">
        <v>23</v>
      </c>
      <c r="E5" t="n">
        <v>-8.5</v>
      </c>
      <c r="F5" t="n">
        <v>-107</v>
      </c>
      <c r="G5">
        <f>IFERROR(E5*(F5/-105),"")</f>
        <v/>
      </c>
      <c r="H5">
        <f>IFERROR((C5-D5)+E5,"")</f>
        <v/>
      </c>
      <c r="I5" t="n">
        <v>51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S5" t="n">
        <v>-334</v>
      </c>
      <c r="T5">
        <f>IFERROR(IF(S5&gt;0,100/(100+S5),ABS(S5)/(100+ABS(S5))),"")</f>
        <v/>
      </c>
    </row>
    <row r="6">
      <c r="A6" t="n">
        <v>3</v>
      </c>
      <c r="B6" t="inlineStr">
        <is>
          <t>Arkansas</t>
        </is>
      </c>
      <c r="C6" t="n">
        <v>41</v>
      </c>
      <c r="D6" t="n">
        <v>35</v>
      </c>
      <c r="E6" t="n">
        <v>-3.5</v>
      </c>
      <c r="F6" t="n">
        <v>-112</v>
      </c>
      <c r="G6">
        <f>IFERROR(E6*(F6/-105),"")</f>
        <v/>
      </c>
      <c r="H6">
        <f>IFERROR((C6-D6)+E6,"")</f>
        <v/>
      </c>
      <c r="I6" t="n">
        <v>60.5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S6" t="n">
        <v>-172</v>
      </c>
      <c r="T6">
        <f>IFERROR(IF(S6&gt;0,100/(100+S6),ABS(S6)/(100+ABS(S6))),"")</f>
        <v/>
      </c>
    </row>
    <row r="7">
      <c r="A7" t="n">
        <v>4</v>
      </c>
      <c r="B7" t="inlineStr">
        <is>
          <t>Tulane</t>
        </is>
      </c>
      <c r="C7" t="n">
        <v>45</v>
      </c>
      <c r="D7" t="n">
        <v>10</v>
      </c>
      <c r="E7" t="n">
        <v>-11</v>
      </c>
      <c r="F7" t="n">
        <v>-113</v>
      </c>
      <c r="G7">
        <f>IFERROR(E7*(F7/-105),"")</f>
        <v/>
      </c>
      <c r="H7">
        <f>IFERROR((C7-D7)+E7,"")</f>
        <v/>
      </c>
      <c r="I7" t="n">
        <v>61.5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S7" t="n">
        <v>-461</v>
      </c>
      <c r="T7">
        <f>IFERROR(IF(S7&gt;0,100/(100+S7),ABS(S7)/(100+ABS(S7))),"")</f>
        <v/>
      </c>
    </row>
    <row r="8">
      <c r="A8" t="n">
        <v>5</v>
      </c>
      <c r="B8" t="inlineStr">
        <is>
          <t>LSU</t>
        </is>
      </c>
      <c r="C8" t="n">
        <v>24</v>
      </c>
      <c r="D8" t="n">
        <v>19</v>
      </c>
      <c r="E8" t="n">
        <v>-2.5</v>
      </c>
      <c r="F8" t="n">
        <v>-114</v>
      </c>
      <c r="G8">
        <f>IFERROR(E8*(F8/-105),"")</f>
        <v/>
      </c>
      <c r="H8">
        <f>IFERROR((C8-D8)+E8,"")</f>
        <v/>
      </c>
      <c r="I8" t="n">
        <v>57.5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S8" t="n">
        <v>-141</v>
      </c>
      <c r="T8">
        <f>IFERROR(IF(S8&gt;0,100/(100+S8),ABS(S8)/(100+ABS(S8))),"")</f>
        <v/>
      </c>
    </row>
    <row r="9">
      <c r="A9" t="n">
        <v>7</v>
      </c>
      <c r="B9" t="inlineStr">
        <is>
          <t>Washington State</t>
        </is>
      </c>
      <c r="C9" t="n">
        <v>24</v>
      </c>
      <c r="D9" t="n">
        <v>21</v>
      </c>
      <c r="E9" t="n">
        <v>-33.5</v>
      </c>
      <c r="F9" t="n">
        <v>-109</v>
      </c>
      <c r="G9">
        <f>IFERROR(E9*(F9/-105),"")</f>
        <v/>
      </c>
      <c r="H9">
        <f>IFERROR((C9-D9)+E9,"")</f>
        <v/>
      </c>
      <c r="I9" t="n">
        <v>58.5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T9">
        <f>IFERROR(IF(S9&gt;0,100/(100+S9),ABS(S9)/(100+ABS(S9))),"")</f>
        <v/>
      </c>
    </row>
    <row r="10">
      <c r="A10" t="n">
        <v>8</v>
      </c>
      <c r="B10" t="inlineStr">
        <is>
          <t>Georgia</t>
        </is>
      </c>
      <c r="C10" t="n">
        <v>35</v>
      </c>
      <c r="D10" t="n">
        <v>43</v>
      </c>
      <c r="E10" t="n">
        <v>7.5</v>
      </c>
      <c r="F10" t="n">
        <v>-115</v>
      </c>
      <c r="G10">
        <f>IFERROR(E10*(F10/-105),"")</f>
        <v/>
      </c>
      <c r="H10">
        <f>IFERROR((C10-D10)+E10,"")</f>
        <v/>
      </c>
      <c r="I10" t="n">
        <v>56.5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S10" t="n">
        <v>224</v>
      </c>
      <c r="T10">
        <f>IFERROR(IF(S10&gt;0,100/(100+S10),ABS(S10)/(100+ABS(S10))),"")</f>
        <v/>
      </c>
    </row>
    <row r="11">
      <c r="A11" t="n">
        <v>9</v>
      </c>
      <c r="B11" t="inlineStr">
        <is>
          <t>Oklahoma</t>
        </is>
      </c>
      <c r="C11" t="n">
        <v>34</v>
      </c>
      <c r="D11" t="n">
        <v>26</v>
      </c>
      <c r="E11" t="n">
        <v>5.5</v>
      </c>
      <c r="F11" t="n">
        <v>-114</v>
      </c>
      <c r="G11">
        <f>IFERROR(E11*(F11/-105),"")</f>
        <v/>
      </c>
      <c r="H11">
        <f>IFERROR((C11-D11)+E11,"")</f>
        <v/>
      </c>
      <c r="I11" t="n">
        <v>52.5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S11" t="n">
        <v>160</v>
      </c>
      <c r="T11">
        <f>IFERROR(IF(S11&gt;0,100/(100+S11),ABS(S11)/(100+ABS(S11))),"")</f>
        <v/>
      </c>
    </row>
    <row r="12">
      <c r="A12" t="n">
        <v>10</v>
      </c>
      <c r="B12" t="inlineStr">
        <is>
          <t>South Carolina</t>
        </is>
      </c>
      <c r="C12" t="n">
        <v>30</v>
      </c>
      <c r="D12" t="n">
        <v>14</v>
      </c>
      <c r="E12" t="n">
        <v>-12.5</v>
      </c>
      <c r="F12" t="n">
        <v>-114</v>
      </c>
      <c r="G12">
        <f>IFERROR(E12*(F12/-105),"")</f>
        <v/>
      </c>
      <c r="H12">
        <f>IFERROR((C12-D12)+E12,"")</f>
        <v/>
      </c>
      <c r="I12" t="n">
        <v>55.5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-496</v>
      </c>
      <c r="T12">
        <f>IFERROR(IF(S12&gt;0,100/(100+S12),ABS(S12)/(100+ABS(S12))),"")</f>
        <v/>
      </c>
    </row>
    <row r="13">
      <c r="A13" t="n">
        <v>11</v>
      </c>
      <c r="B13" t="inlineStr">
        <is>
          <t>The Citadel</t>
        </is>
      </c>
      <c r="C13" t="n">
        <v>49</v>
      </c>
      <c r="D13" t="n">
        <v>0</v>
      </c>
      <c r="E13" t="n">
        <v>-51.5</v>
      </c>
      <c r="F13" t="n">
        <v>-109</v>
      </c>
      <c r="G13">
        <f>IFERROR(E13*(F13/-105),"")</f>
        <v/>
      </c>
      <c r="H13">
        <f>IFERROR((C13-D13)+E13,"")</f>
        <v/>
      </c>
      <c r="I13" t="n">
        <v>63.5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T13">
        <f>IFERROR(IF(S13&gt;0,100/(100+S13),ABS(S13)/(100+ABS(S13))),"")</f>
        <v/>
      </c>
    </row>
    <row r="14">
      <c r="A14" t="n">
        <v>12</v>
      </c>
      <c r="B14" t="inlineStr">
        <is>
          <t>Florida</t>
        </is>
      </c>
      <c r="C14" t="n">
        <v>34</v>
      </c>
      <c r="D14" t="n">
        <v>24</v>
      </c>
      <c r="E14" t="n">
        <v>-11</v>
      </c>
      <c r="F14" t="n">
        <v>-111</v>
      </c>
      <c r="G14">
        <f>IFERROR(E14*(F14/-105),"")</f>
        <v/>
      </c>
      <c r="H14">
        <f>IFERROR((C14-D14)+E14,"")</f>
        <v/>
      </c>
      <c r="I14" t="n">
        <v>53.5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S14" t="n">
        <v>-464</v>
      </c>
      <c r="T14">
        <f>IFERROR(IF(S14&gt;0,100/(100+S14),ABS(S14)/(100+ABS(S14))),"")</f>
        <v/>
      </c>
    </row>
    <row r="15">
      <c r="A15" t="n">
        <v>14</v>
      </c>
      <c r="B15" t="inlineStr">
        <is>
          <t>Mississippi State</t>
        </is>
      </c>
      <c r="C15" t="n">
        <v>38</v>
      </c>
      <c r="D15" t="n">
        <v>19</v>
      </c>
      <c r="E15" t="n">
        <v>-7.5</v>
      </c>
      <c r="F15" t="n">
        <v>-102</v>
      </c>
      <c r="G15">
        <f>IFERROR(E15*(F15/-105),"")</f>
        <v/>
      </c>
      <c r="H15">
        <f>IFERROR((C15-D15)+E15,"")</f>
        <v/>
      </c>
      <c r="I15" t="n">
        <v>63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-299</v>
      </c>
      <c r="T15">
        <f>IFERROR(IF(S15&gt;0,100/(100+S15),ABS(S15)/(100+ABS(S15))),"")</f>
        <v/>
      </c>
    </row>
    <row r="17">
      <c r="A17" s="3" t="inlineStr">
        <is>
          <t>Net</t>
        </is>
      </c>
      <c r="C17">
        <f>SUM(C4:C15)</f>
        <v/>
      </c>
      <c r="D17">
        <f>SUM(D4:D15)</f>
        <v/>
      </c>
      <c r="E17">
        <f>SUM(E4:E15)</f>
        <v/>
      </c>
      <c r="F17">
        <f>SUM(F4:F15)</f>
        <v/>
      </c>
      <c r="G17">
        <f>SUM(G4:G15)</f>
        <v/>
      </c>
      <c r="H17">
        <f>SUM(H4:H15)</f>
        <v/>
      </c>
      <c r="I17">
        <f>SUM(I4:I15)</f>
        <v/>
      </c>
      <c r="J17">
        <f>SUM(J4:J15)</f>
        <v/>
      </c>
      <c r="K17">
        <f>SUM(K4:K15)</f>
        <v/>
      </c>
      <c r="L17">
        <f>SUM(L4:L15)</f>
        <v/>
      </c>
      <c r="M17">
        <f>SUM(M4:M15)</f>
        <v/>
      </c>
      <c r="N17">
        <f>SUM(N4:N15)</f>
        <v/>
      </c>
      <c r="O17">
        <f>SUM(O4:O15)</f>
        <v/>
      </c>
      <c r="P17">
        <f>SUM(P4:P15)</f>
        <v/>
      </c>
      <c r="Q17">
        <f>SUM(Q4:Q15)</f>
        <v/>
      </c>
      <c r="R17">
        <f>SUM(R4:R15)</f>
        <v/>
      </c>
      <c r="S17">
        <f>SUM(S4:S15)</f>
        <v/>
      </c>
      <c r="T17">
        <f>SUM(T4:T15)</f>
        <v/>
      </c>
    </row>
    <row r="18">
      <c r="A18" s="3" t="inlineStr">
        <is>
          <t>Average</t>
        </is>
      </c>
      <c r="C18">
        <f>IFERROR(AVERAGE(C4:C15),"")</f>
        <v/>
      </c>
      <c r="D18">
        <f>IFERROR(AVERAGE(D4:D15),"")</f>
        <v/>
      </c>
      <c r="E18">
        <f>IFERROR(AVERAGE(E4:E15),"")</f>
        <v/>
      </c>
      <c r="F18">
        <f>IFERROR(AVERAGE(F4:F15),"")</f>
        <v/>
      </c>
      <c r="G18">
        <f>IFERROR(AVERAGE(G4:G15),"")</f>
        <v/>
      </c>
      <c r="H18">
        <f>IFERROR(AVERAGE(H4:H15),"")</f>
        <v/>
      </c>
      <c r="I18">
        <f>IFERROR(AVERAGE(I4:I15),"")</f>
        <v/>
      </c>
      <c r="J18">
        <f>IFERROR(AVERAGE(J4:J15),"")</f>
        <v/>
      </c>
      <c r="K18">
        <f>IFERROR(AVERAGE(K4:K15),"")</f>
        <v/>
      </c>
      <c r="L18">
        <f>IFERROR(AVERAGE(L4:L15),"")</f>
        <v/>
      </c>
      <c r="M18">
        <f>IFERROR(AVERAGE(M4:M15),"")</f>
        <v/>
      </c>
      <c r="N18">
        <f>IFERROR(AVERAGE(N4:N15),"")</f>
        <v/>
      </c>
      <c r="O18">
        <f>IFERROR(AVERAGE(O4:O15),"")</f>
        <v/>
      </c>
      <c r="P18">
        <f>IFERROR(AVERAGE(P4:P15),"")</f>
        <v/>
      </c>
      <c r="Q18">
        <f>IFERROR(AVERAGE(Q4:Q15),"")</f>
        <v/>
      </c>
      <c r="R18">
        <f>IFERROR(AVERAGE(R4:R15),"")</f>
        <v/>
      </c>
      <c r="S18">
        <f>IFERROR(AVERAGE(S4:S15),"")</f>
        <v/>
      </c>
      <c r="T18">
        <f>IFERROR(AVERAGE(T4:T15),"")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7</t>
        </is>
      </c>
      <c r="B1" s="1" t="inlineStr">
        <is>
          <t>Final Ranking Coaches Poll:</t>
        </is>
      </c>
      <c r="C1" s="1" t="inlineStr">
        <is>
          <t>Playoffs: Yes</t>
        </is>
      </c>
      <c r="D1" s="1" t="inlineStr">
        <is>
          <t>Conference: SEC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>
        <is>
          <t>UTSA</t>
        </is>
      </c>
      <c r="C4" t="n">
        <v>42</v>
      </c>
      <c r="D4" t="n">
        <v>24</v>
      </c>
      <c r="E4" t="n">
        <v>-23.5</v>
      </c>
      <c r="F4" t="n">
        <v>-110</v>
      </c>
      <c r="G4">
        <f>IFERROR(E4*(F4/-105),"")</f>
        <v/>
      </c>
      <c r="H4">
        <f>IFERROR((C4-D4)+E4,"")</f>
        <v/>
      </c>
      <c r="I4" t="n">
        <v>58.5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S4" t="n">
        <v>-2497</v>
      </c>
      <c r="T4">
        <f>IFERROR(IF(S4&gt;0,100/(100+S4),ABS(S4)/(100+ABS(S4))),"")</f>
        <v/>
      </c>
    </row>
    <row r="5">
      <c r="A5" t="n">
        <v>2</v>
      </c>
      <c r="B5" t="inlineStr">
        <is>
          <t>Utah State</t>
        </is>
      </c>
      <c r="C5" t="n">
        <v>44</v>
      </c>
      <c r="D5" t="n">
        <v>22</v>
      </c>
      <c r="E5" t="n">
        <v>-34.5</v>
      </c>
      <c r="F5" t="n">
        <v>-110</v>
      </c>
      <c r="G5">
        <f>IFERROR(E5*(F5/-105),"")</f>
        <v/>
      </c>
      <c r="H5">
        <f>IFERROR((C5-D5)+E5,"")</f>
        <v/>
      </c>
      <c r="I5" t="n">
        <v>57.5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S5" t="n">
        <v>-19171</v>
      </c>
      <c r="T5">
        <f>IFERROR(IF(S5&gt;0,100/(100+S5),ABS(S5)/(100+ABS(S5))),"")</f>
        <v/>
      </c>
    </row>
    <row r="6">
      <c r="A6" t="n">
        <v>3</v>
      </c>
      <c r="B6" t="inlineStr">
        <is>
          <t>Notre Dame</t>
        </is>
      </c>
      <c r="C6" t="n">
        <v>41</v>
      </c>
      <c r="D6" t="n">
        <v>40</v>
      </c>
      <c r="E6" t="n">
        <v>6.5</v>
      </c>
      <c r="F6" t="n">
        <v>-108</v>
      </c>
      <c r="G6">
        <f>IFERROR(E6*(F6/-105),"")</f>
        <v/>
      </c>
      <c r="H6">
        <f>IFERROR((C6-D6)+E6,"")</f>
        <v/>
      </c>
      <c r="I6" t="n">
        <v>49.5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S6" t="n">
        <v>205</v>
      </c>
      <c r="T6">
        <f>IFERROR(IF(S6&gt;0,100/(100+S6),ABS(S6)/(100+ABS(S6))),"")</f>
        <v/>
      </c>
    </row>
    <row r="7">
      <c r="A7" t="n">
        <v>5</v>
      </c>
      <c r="B7" t="inlineStr">
        <is>
          <t>Auburn</t>
        </is>
      </c>
      <c r="C7" t="n">
        <v>16</v>
      </c>
      <c r="D7" t="n">
        <v>10</v>
      </c>
      <c r="E7" t="n">
        <v>-6.5</v>
      </c>
      <c r="F7" t="n">
        <v>-109</v>
      </c>
      <c r="G7">
        <f>IFERROR(E7*(F7/-105),"")</f>
        <v/>
      </c>
      <c r="H7">
        <f>IFERROR((C7-D7)+E7,"")</f>
        <v/>
      </c>
      <c r="I7" t="n">
        <v>51.5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S7" t="n">
        <v>-230</v>
      </c>
      <c r="T7">
        <f>IFERROR(IF(S7&gt;0,100/(100+S7),ABS(S7)/(100+ABS(S7))),"")</f>
        <v/>
      </c>
    </row>
    <row r="8">
      <c r="A8" t="n">
        <v>6</v>
      </c>
      <c r="B8" t="inlineStr">
        <is>
          <t>Mississippi State</t>
        </is>
      </c>
      <c r="C8" t="n">
        <v>31</v>
      </c>
      <c r="D8" t="n">
        <v>9</v>
      </c>
      <c r="E8" t="n">
        <v>-17.5</v>
      </c>
      <c r="F8" t="n">
        <v>-110</v>
      </c>
      <c r="G8">
        <f>IFERROR(E8*(F8/-105),"")</f>
        <v/>
      </c>
      <c r="H8">
        <f>IFERROR((C8-D8)+E8,"")</f>
        <v/>
      </c>
      <c r="I8" t="n">
        <v>57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S8" t="n">
        <v>-860</v>
      </c>
      <c r="T8">
        <f>IFERROR(IF(S8&gt;0,100/(100+S8),ABS(S8)/(100+ABS(S8))),"")</f>
        <v/>
      </c>
    </row>
    <row r="9">
      <c r="A9" t="n">
        <v>7</v>
      </c>
      <c r="B9" t="inlineStr">
        <is>
          <t>Florida</t>
        </is>
      </c>
      <c r="C9" t="n">
        <v>34</v>
      </c>
      <c r="D9" t="n">
        <v>17</v>
      </c>
      <c r="E9" t="n">
        <v>-7</v>
      </c>
      <c r="F9" t="n">
        <v>-110</v>
      </c>
      <c r="G9">
        <f>IFERROR(E9*(F9/-105),"")</f>
        <v/>
      </c>
      <c r="H9">
        <f>IFERROR((C9-D9)+E9,"")</f>
        <v/>
      </c>
      <c r="I9" t="n">
        <v>48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S9" t="n">
        <v>-263</v>
      </c>
      <c r="T9">
        <f>IFERROR(IF(S9&gt;0,100/(100+S9),ABS(S9)/(100+ABS(S9))),"")</f>
        <v/>
      </c>
    </row>
    <row r="10">
      <c r="A10" t="n">
        <v>8</v>
      </c>
      <c r="B10" t="inlineStr">
        <is>
          <t>Arkansas</t>
        </is>
      </c>
      <c r="C10" t="n">
        <v>45</v>
      </c>
      <c r="D10" t="n">
        <v>42</v>
      </c>
      <c r="E10" t="n">
        <v>-7.5</v>
      </c>
      <c r="F10" t="n">
        <v>-111</v>
      </c>
      <c r="G10">
        <f>IFERROR(E10*(F10/-105),"")</f>
        <v/>
      </c>
      <c r="H10">
        <f>IFERROR((C10-D10)+E10,"")</f>
        <v/>
      </c>
      <c r="I10" t="n">
        <v>57.5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S10" t="n">
        <v>-299</v>
      </c>
      <c r="T10">
        <f>IFERROR(IF(S10&gt;0,100/(100+S10),ABS(S10)/(100+ABS(S10))),"")</f>
        <v/>
      </c>
    </row>
    <row r="11">
      <c r="A11" t="n">
        <v>9</v>
      </c>
      <c r="B11" t="inlineStr">
        <is>
          <t>LSU</t>
        </is>
      </c>
      <c r="C11" t="n">
        <v>49</v>
      </c>
      <c r="D11" t="n">
        <v>25</v>
      </c>
      <c r="E11" t="n">
        <v>-2.5</v>
      </c>
      <c r="F11" t="n">
        <v>-109</v>
      </c>
      <c r="G11">
        <f>IFERROR(E11*(F11/-105),"")</f>
        <v/>
      </c>
      <c r="H11">
        <f>IFERROR((C11-D11)+E11,"")</f>
        <v/>
      </c>
      <c r="I11" t="n">
        <v>49.5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S11" t="n">
        <v>-126</v>
      </c>
      <c r="T11">
        <f>IFERROR(IF(S11&gt;0,100/(100+S11),ABS(S11)/(100+ABS(S11))),"")</f>
        <v/>
      </c>
    </row>
    <row r="12">
      <c r="A12" t="n">
        <v>11</v>
      </c>
      <c r="B12" t="inlineStr">
        <is>
          <t>Missouri</t>
        </is>
      </c>
      <c r="C12" t="n">
        <v>38</v>
      </c>
      <c r="D12" t="n">
        <v>17</v>
      </c>
      <c r="E12" t="n">
        <v>-7</v>
      </c>
      <c r="F12" t="n">
        <v>-106</v>
      </c>
      <c r="G12">
        <f>IFERROR(E12*(F12/-105),"")</f>
        <v/>
      </c>
      <c r="H12">
        <f>IFERROR((C12-D12)+E12,"")</f>
        <v/>
      </c>
      <c r="I12" t="n">
        <v>48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-267</v>
      </c>
      <c r="T12">
        <f>IFERROR(IF(S12&gt;0,100/(100+S12),ABS(S12)/(100+ABS(S12))),"")</f>
        <v/>
      </c>
    </row>
    <row r="13">
      <c r="A13" t="n">
        <v>12</v>
      </c>
      <c r="B13" t="inlineStr">
        <is>
          <t>South Carolina</t>
        </is>
      </c>
      <c r="C13" t="n">
        <v>31</v>
      </c>
      <c r="D13" t="n">
        <v>30</v>
      </c>
      <c r="E13" t="n">
        <v>-17</v>
      </c>
      <c r="F13" t="n">
        <v>-108</v>
      </c>
      <c r="G13">
        <f>IFERROR(E13*(F13/-105),"")</f>
        <v/>
      </c>
      <c r="H13">
        <f>IFERROR((C13-D13)+E13,"")</f>
        <v/>
      </c>
      <c r="I13" t="n">
        <v>49.5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S13" t="n">
        <v>-925</v>
      </c>
      <c r="T13">
        <f>IFERROR(IF(S13&gt;0,100/(100+S13),ABS(S13)/(100+ABS(S13))),"")</f>
        <v/>
      </c>
    </row>
    <row r="14">
      <c r="A14" t="n">
        <v>13</v>
      </c>
      <c r="B14" t="inlineStr">
        <is>
          <t>Samford</t>
        </is>
      </c>
      <c r="C14" t="n">
        <v>48</v>
      </c>
      <c r="D14" t="n">
        <v>0</v>
      </c>
      <c r="E14" t="n">
        <v>-54.5</v>
      </c>
      <c r="F14" t="n">
        <v>-110</v>
      </c>
      <c r="G14">
        <f>IFERROR(E14*(F14/-105),"")</f>
        <v/>
      </c>
      <c r="H14">
        <f>IFERROR((C14-D14)+E14,"")</f>
        <v/>
      </c>
      <c r="I14" t="n">
        <v>59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T14">
        <f>IFERROR(IF(S14&gt;0,100/(100+S14),ABS(S14)/(100+ABS(S14))),"")</f>
        <v/>
      </c>
    </row>
    <row r="15">
      <c r="A15" t="n">
        <v>14</v>
      </c>
      <c r="B15" t="inlineStr">
        <is>
          <t>Texas</t>
        </is>
      </c>
      <c r="C15" t="n">
        <v>17</v>
      </c>
      <c r="D15" t="n">
        <v>27</v>
      </c>
      <c r="E15" t="n">
        <v>-2.5</v>
      </c>
      <c r="F15" t="n">
        <v>-114</v>
      </c>
      <c r="G15">
        <f>IFERROR(E15*(F15/-105),"")</f>
        <v/>
      </c>
      <c r="H15">
        <f>IFERROR((C15-D15)+E15,"")</f>
        <v/>
      </c>
      <c r="I15" t="n">
        <v>54.5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-141</v>
      </c>
      <c r="T15">
        <f>IFERROR(IF(S15&gt;0,100/(100+S15),ABS(S15)/(100+ABS(S15))),"")</f>
        <v/>
      </c>
    </row>
    <row r="17">
      <c r="A17" s="3" t="inlineStr">
        <is>
          <t>Net</t>
        </is>
      </c>
      <c r="C17">
        <f>SUM(C4:C15)</f>
        <v/>
      </c>
      <c r="D17">
        <f>SUM(D4:D15)</f>
        <v/>
      </c>
      <c r="E17">
        <f>SUM(E4:E15)</f>
        <v/>
      </c>
      <c r="F17">
        <f>SUM(F4:F15)</f>
        <v/>
      </c>
      <c r="G17">
        <f>SUM(G4:G15)</f>
        <v/>
      </c>
      <c r="H17">
        <f>SUM(H4:H15)</f>
        <v/>
      </c>
      <c r="I17">
        <f>SUM(I4:I15)</f>
        <v/>
      </c>
      <c r="J17">
        <f>SUM(J4:J15)</f>
        <v/>
      </c>
      <c r="K17">
        <f>SUM(K4:K15)</f>
        <v/>
      </c>
      <c r="L17">
        <f>SUM(L4:L15)</f>
        <v/>
      </c>
      <c r="M17">
        <f>SUM(M4:M15)</f>
        <v/>
      </c>
      <c r="N17">
        <f>SUM(N4:N15)</f>
        <v/>
      </c>
      <c r="O17">
        <f>SUM(O4:O15)</f>
        <v/>
      </c>
      <c r="P17">
        <f>SUM(P4:P15)</f>
        <v/>
      </c>
      <c r="Q17">
        <f>SUM(Q4:Q15)</f>
        <v/>
      </c>
      <c r="R17">
        <f>SUM(R4:R15)</f>
        <v/>
      </c>
      <c r="S17">
        <f>SUM(S4:S15)</f>
        <v/>
      </c>
      <c r="T17">
        <f>SUM(T4:T15)</f>
        <v/>
      </c>
    </row>
    <row r="18">
      <c r="A18" s="3" t="inlineStr">
        <is>
          <t>Average</t>
        </is>
      </c>
      <c r="C18">
        <f>IFERROR(AVERAGE(C4:C15),"")</f>
        <v/>
      </c>
      <c r="D18">
        <f>IFERROR(AVERAGE(D4:D15),"")</f>
        <v/>
      </c>
      <c r="E18">
        <f>IFERROR(AVERAGE(E4:E15),"")</f>
        <v/>
      </c>
      <c r="F18">
        <f>IFERROR(AVERAGE(F4:F15),"")</f>
        <v/>
      </c>
      <c r="G18">
        <f>IFERROR(AVERAGE(G4:G15),"")</f>
        <v/>
      </c>
      <c r="H18">
        <f>IFERROR(AVERAGE(H4:H15),"")</f>
        <v/>
      </c>
      <c r="I18">
        <f>IFERROR(AVERAGE(I4:I15),"")</f>
        <v/>
      </c>
      <c r="J18">
        <f>IFERROR(AVERAGE(J4:J15),"")</f>
        <v/>
      </c>
      <c r="K18">
        <f>IFERROR(AVERAGE(K4:K15),"")</f>
        <v/>
      </c>
      <c r="L18">
        <f>IFERROR(AVERAGE(L4:L15),"")</f>
        <v/>
      </c>
      <c r="M18">
        <f>IFERROR(AVERAGE(M4:M15),"")</f>
        <v/>
      </c>
      <c r="N18">
        <f>IFERROR(AVERAGE(N4:N15),"")</f>
        <v/>
      </c>
      <c r="O18">
        <f>IFERROR(AVERAGE(O4:O15),"")</f>
        <v/>
      </c>
      <c r="P18">
        <f>IFERROR(AVERAGE(P4:P15),"")</f>
        <v/>
      </c>
      <c r="Q18">
        <f>IFERROR(AVERAGE(Q4:Q15),"")</f>
        <v/>
      </c>
      <c r="R18">
        <f>IFERROR(AVERAGE(R4:R15),"")</f>
        <v/>
      </c>
      <c r="S18">
        <f>IFERROR(AVERAGE(S4:S15),"")</f>
        <v/>
      </c>
      <c r="T18">
        <f>IFERROR(AVERAGE(T4:T15),"")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8</t>
        </is>
      </c>
      <c r="B1" s="1" t="inlineStr">
        <is>
          <t>Final Ranking Coaches Poll:</t>
        </is>
      </c>
      <c r="C1" s="1" t="inlineStr">
        <is>
          <t>Playoffs: Yes</t>
        </is>
      </c>
      <c r="D1" s="1" t="inlineStr">
        <is>
          <t>Conference: SEC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>
        <is>
          <t>Illinois State</t>
        </is>
      </c>
      <c r="C4" t="n">
        <v>35</v>
      </c>
      <c r="D4" t="n">
        <v>3</v>
      </c>
      <c r="E4" t="n">
        <v>-40.5</v>
      </c>
      <c r="F4" t="n">
        <v>-110</v>
      </c>
      <c r="G4">
        <f>IFERROR(E4*(F4/-105),"")</f>
        <v/>
      </c>
      <c r="H4">
        <f>IFERROR((C4-D4)+E4,"")</f>
        <v/>
      </c>
      <c r="I4" t="n">
        <v>61.5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T4">
        <f>IFERROR(IF(S4&gt;0,100/(100+S4),ABS(S4)/(100+ABS(S4))),"")</f>
        <v/>
      </c>
    </row>
    <row r="5">
      <c r="A5" t="n">
        <v>2</v>
      </c>
      <c r="B5" t="inlineStr">
        <is>
          <t>Michigan</t>
        </is>
      </c>
      <c r="C5" t="n">
        <v>24</v>
      </c>
      <c r="D5" t="n">
        <v>13</v>
      </c>
      <c r="E5" t="n">
        <v>-4</v>
      </c>
      <c r="F5" t="n">
        <v>-109</v>
      </c>
      <c r="G5">
        <f>IFERROR(E5*(F5/-105),"")</f>
        <v/>
      </c>
      <c r="H5">
        <f>IFERROR((C5-D5)+E5,"")</f>
        <v/>
      </c>
      <c r="I5" t="n">
        <v>44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S5" t="n">
        <v>-182</v>
      </c>
      <c r="T5">
        <f>IFERROR(IF(S5&gt;0,100/(100+S5),ABS(S5)/(100+ABS(S5))),"")</f>
        <v/>
      </c>
    </row>
    <row r="6">
      <c r="A6" t="n">
        <v>3</v>
      </c>
      <c r="B6" t="inlineStr">
        <is>
          <t>Temple</t>
        </is>
      </c>
      <c r="C6" t="n">
        <v>42</v>
      </c>
      <c r="D6" t="n">
        <v>3</v>
      </c>
      <c r="E6" t="n">
        <v>-24</v>
      </c>
      <c r="F6" t="n">
        <v>-107</v>
      </c>
      <c r="G6">
        <f>IFERROR(E6*(F6/-105),"")</f>
        <v/>
      </c>
      <c r="H6">
        <f>IFERROR((C6-D6)+E6,"")</f>
        <v/>
      </c>
      <c r="I6" t="n">
        <v>51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S6" t="n">
        <v>-2641</v>
      </c>
      <c r="T6">
        <f>IFERROR(IF(S6&gt;0,100/(100+S6),ABS(S6)/(100+ABS(S6))),"")</f>
        <v/>
      </c>
    </row>
    <row r="7">
      <c r="A7" t="n">
        <v>4</v>
      </c>
      <c r="B7" t="inlineStr">
        <is>
          <t>Auburn</t>
        </is>
      </c>
      <c r="C7" t="n">
        <v>24</v>
      </c>
      <c r="D7" t="n">
        <v>17</v>
      </c>
      <c r="E7" t="n">
        <v>-6.5</v>
      </c>
      <c r="F7" t="n">
        <v>-114</v>
      </c>
      <c r="G7">
        <f>IFERROR(E7*(F7/-105),"")</f>
        <v/>
      </c>
      <c r="H7">
        <f>IFERROR((C7-D7)+E7,"")</f>
        <v/>
      </c>
      <c r="I7" t="n">
        <v>48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S7" t="n">
        <v>-240</v>
      </c>
      <c r="T7">
        <f>IFERROR(IF(S7&gt;0,100/(100+S7),ABS(S7)/(100+ABS(S7))),"")</f>
        <v/>
      </c>
    </row>
    <row r="8">
      <c r="A8" t="n">
        <v>6</v>
      </c>
      <c r="B8" t="inlineStr">
        <is>
          <t>Kent State</t>
        </is>
      </c>
      <c r="C8" t="n">
        <v>44</v>
      </c>
      <c r="D8" t="n">
        <v>0</v>
      </c>
      <c r="E8" t="n">
        <v>-46.5</v>
      </c>
      <c r="F8" t="n">
        <v>-110</v>
      </c>
      <c r="G8">
        <f>IFERROR(E8*(F8/-105),"")</f>
        <v/>
      </c>
      <c r="H8">
        <f>IFERROR((C8-D8)+E8,"")</f>
        <v/>
      </c>
      <c r="I8" t="n">
        <v>53.5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T8">
        <f>IFERROR(IF(S8&gt;0,100/(100+S8),ABS(S8)/(100+ABS(S8))),"")</f>
        <v/>
      </c>
    </row>
    <row r="9">
      <c r="A9" t="n">
        <v>7</v>
      </c>
      <c r="B9" t="inlineStr">
        <is>
          <t>Texas</t>
        </is>
      </c>
      <c r="C9" t="n">
        <v>6</v>
      </c>
      <c r="D9" t="n">
        <v>23</v>
      </c>
      <c r="E9" t="n">
        <v>2.5</v>
      </c>
      <c r="F9" t="n">
        <v>-103</v>
      </c>
      <c r="G9">
        <f>IFERROR(E9*(F9/-105),"")</f>
        <v/>
      </c>
      <c r="H9">
        <f>IFERROR((C9-D9)+E9,"")</f>
        <v/>
      </c>
      <c r="I9" t="n">
        <v>44.5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S9" t="n">
        <v>120</v>
      </c>
      <c r="T9">
        <f>IFERROR(IF(S9&gt;0,100/(100+S9),ABS(S9)/(100+ABS(S9))),"")</f>
        <v/>
      </c>
    </row>
    <row r="10">
      <c r="A10" t="n">
        <v>8</v>
      </c>
      <c r="B10" t="inlineStr">
        <is>
          <t>South Carolina</t>
        </is>
      </c>
      <c r="C10" t="n">
        <v>26</v>
      </c>
      <c r="D10" t="n">
        <v>7</v>
      </c>
      <c r="E10" t="n">
        <v>-4.5</v>
      </c>
      <c r="F10" t="n">
        <v>-107</v>
      </c>
      <c r="G10">
        <f>IFERROR(E10*(F10/-105),"")</f>
        <v/>
      </c>
      <c r="H10">
        <f>IFERROR((C10-D10)+E10,"")</f>
        <v/>
      </c>
      <c r="I10" t="n">
        <v>42.5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S10" t="n">
        <v>-193</v>
      </c>
      <c r="T10">
        <f>IFERROR(IF(S10&gt;0,100/(100+S10),ABS(S10)/(100+ABS(S10))),"")</f>
        <v/>
      </c>
    </row>
    <row r="11">
      <c r="A11" t="n">
        <v>9</v>
      </c>
      <c r="B11" t="inlineStr">
        <is>
          <t>Ole Miss</t>
        </is>
      </c>
      <c r="C11" t="n">
        <v>26</v>
      </c>
      <c r="D11" t="n">
        <v>34</v>
      </c>
      <c r="E11" t="n">
        <v>-5.5</v>
      </c>
      <c r="F11" t="n">
        <v>-109</v>
      </c>
      <c r="G11">
        <f>IFERROR(E11*(F11/-105),"")</f>
        <v/>
      </c>
      <c r="H11">
        <f>IFERROR((C11-D11)+E11,"")</f>
        <v/>
      </c>
      <c r="I11" t="n">
        <v>52.5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S11" t="n">
        <v>-198</v>
      </c>
      <c r="T11">
        <f>IFERROR(IF(S11&gt;0,100/(100+S11),ABS(S11)/(100+ABS(S11))),"")</f>
        <v/>
      </c>
    </row>
    <row r="12">
      <c r="A12" t="n">
        <v>10</v>
      </c>
      <c r="B12" t="inlineStr">
        <is>
          <t>Tennessee</t>
        </is>
      </c>
      <c r="C12" t="n">
        <v>33</v>
      </c>
      <c r="D12" t="n">
        <v>27</v>
      </c>
      <c r="E12" t="n">
        <v>3</v>
      </c>
      <c r="F12" t="n">
        <v>-113</v>
      </c>
      <c r="G12">
        <f>IFERROR(E12*(F12/-105),"")</f>
        <v/>
      </c>
      <c r="H12">
        <f>IFERROR((C12-D12)+E12,"")</f>
        <v/>
      </c>
      <c r="I12" t="n">
        <v>55.5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129</v>
      </c>
      <c r="T12">
        <f>IFERROR(IF(S12&gt;0,100/(100+S12),ABS(S12)/(100+ABS(S12))),"")</f>
        <v/>
      </c>
    </row>
    <row r="13">
      <c r="A13" t="n">
        <v>12</v>
      </c>
      <c r="B13" t="inlineStr">
        <is>
          <t>Alabama</t>
        </is>
      </c>
      <c r="C13" t="n">
        <v>23</v>
      </c>
      <c r="D13" t="n">
        <v>21</v>
      </c>
      <c r="E13" t="n">
        <v>6.5</v>
      </c>
      <c r="F13" t="n">
        <v>-108</v>
      </c>
      <c r="G13">
        <f>IFERROR(E13*(F13/-105),"")</f>
        <v/>
      </c>
      <c r="H13">
        <f>IFERROR((C13-D13)+E13,"")</f>
        <v/>
      </c>
      <c r="I13" t="n">
        <v>45.5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S13" t="n">
        <v>197</v>
      </c>
      <c r="T13">
        <f>IFERROR(IF(S13&gt;0,100/(100+S13),ABS(S13)/(100+ABS(S13))),"")</f>
        <v/>
      </c>
    </row>
    <row r="14">
      <c r="A14" t="n">
        <v>13</v>
      </c>
      <c r="B14" t="inlineStr">
        <is>
          <t>Missouri</t>
        </is>
      </c>
      <c r="C14" t="n">
        <v>17</v>
      </c>
      <c r="D14" t="n">
        <v>6</v>
      </c>
      <c r="E14" t="n">
        <v>-5</v>
      </c>
      <c r="F14" t="n">
        <v>-112</v>
      </c>
      <c r="G14">
        <f>IFERROR(E14*(F14/-105),"")</f>
        <v/>
      </c>
      <c r="H14">
        <f>IFERROR((C14-D14)+E14,"")</f>
        <v/>
      </c>
      <c r="I14" t="n">
        <v>42.5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S14" t="n">
        <v>-225</v>
      </c>
      <c r="T14">
        <f>IFERROR(IF(S14&gt;0,100/(100+S14),ABS(S14)/(100+ABS(S14))),"")</f>
        <v/>
      </c>
    </row>
    <row r="15">
      <c r="A15" t="n">
        <v>14</v>
      </c>
      <c r="B15" t="inlineStr">
        <is>
          <t>LSU</t>
        </is>
      </c>
      <c r="C15" t="n">
        <v>17</v>
      </c>
      <c r="D15" t="n">
        <v>13</v>
      </c>
      <c r="E15" t="n">
        <v>-11.5</v>
      </c>
      <c r="F15" t="n">
        <v>-109</v>
      </c>
      <c r="G15">
        <f>IFERROR(E15*(F15/-105),"")</f>
        <v/>
      </c>
      <c r="H15">
        <f>IFERROR((C15-D15)+E15,"")</f>
        <v/>
      </c>
      <c r="I15" t="n">
        <v>36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-486</v>
      </c>
      <c r="T15">
        <f>IFERROR(IF(S15&gt;0,100/(100+S15),ABS(S15)/(100+ABS(S15))),"")</f>
        <v/>
      </c>
    </row>
    <row r="17">
      <c r="A17" s="3" t="inlineStr">
        <is>
          <t>Net</t>
        </is>
      </c>
      <c r="C17">
        <f>SUM(C4:C15)</f>
        <v/>
      </c>
      <c r="D17">
        <f>SUM(D4:D15)</f>
        <v/>
      </c>
      <c r="E17">
        <f>SUM(E4:E15)</f>
        <v/>
      </c>
      <c r="F17">
        <f>SUM(F4:F15)</f>
        <v/>
      </c>
      <c r="G17">
        <f>SUM(G4:G15)</f>
        <v/>
      </c>
      <c r="H17">
        <f>SUM(H4:H15)</f>
        <v/>
      </c>
      <c r="I17">
        <f>SUM(I4:I15)</f>
        <v/>
      </c>
      <c r="J17">
        <f>SUM(J4:J15)</f>
        <v/>
      </c>
      <c r="K17">
        <f>SUM(K4:K15)</f>
        <v/>
      </c>
      <c r="L17">
        <f>SUM(L4:L15)</f>
        <v/>
      </c>
      <c r="M17">
        <f>SUM(M4:M15)</f>
        <v/>
      </c>
      <c r="N17">
        <f>SUM(N4:N15)</f>
        <v/>
      </c>
      <c r="O17">
        <f>SUM(O4:O15)</f>
        <v/>
      </c>
      <c r="P17">
        <f>SUM(P4:P15)</f>
        <v/>
      </c>
      <c r="Q17">
        <f>SUM(Q4:Q15)</f>
        <v/>
      </c>
      <c r="R17">
        <f>SUM(R4:R15)</f>
        <v/>
      </c>
      <c r="S17">
        <f>SUM(S4:S15)</f>
        <v/>
      </c>
      <c r="T17">
        <f>SUM(T4:T15)</f>
        <v/>
      </c>
    </row>
    <row r="18">
      <c r="A18" s="3" t="inlineStr">
        <is>
          <t>Average</t>
        </is>
      </c>
      <c r="C18">
        <f>IFERROR(AVERAGE(C4:C15),"")</f>
        <v/>
      </c>
      <c r="D18">
        <f>IFERROR(AVERAGE(D4:D15),"")</f>
        <v/>
      </c>
      <c r="E18">
        <f>IFERROR(AVERAGE(E4:E15),"")</f>
        <v/>
      </c>
      <c r="F18">
        <f>IFERROR(AVERAGE(F4:F15),"")</f>
        <v/>
      </c>
      <c r="G18">
        <f>IFERROR(AVERAGE(G4:G15),"")</f>
        <v/>
      </c>
      <c r="H18">
        <f>IFERROR(AVERAGE(H4:H15),"")</f>
        <v/>
      </c>
      <c r="I18">
        <f>IFERROR(AVERAGE(I4:I15),"")</f>
        <v/>
      </c>
      <c r="J18">
        <f>IFERROR(AVERAGE(J4:J15),"")</f>
        <v/>
      </c>
      <c r="K18">
        <f>IFERROR(AVERAGE(K4:K15),"")</f>
        <v/>
      </c>
      <c r="L18">
        <f>IFERROR(AVERAGE(L4:L15),"")</f>
        <v/>
      </c>
      <c r="M18">
        <f>IFERROR(AVERAGE(M4:M15),"")</f>
        <v/>
      </c>
      <c r="N18">
        <f>IFERROR(AVERAGE(N4:N15),"")</f>
        <v/>
      </c>
      <c r="O18">
        <f>IFERROR(AVERAGE(O4:O15),"")</f>
        <v/>
      </c>
      <c r="P18">
        <f>IFERROR(AVERAGE(P4:P15),"")</f>
        <v/>
      </c>
      <c r="Q18">
        <f>IFERROR(AVERAGE(Q4:Q15),"")</f>
        <v/>
      </c>
      <c r="R18">
        <f>IFERROR(AVERAGE(R4:R15),"")</f>
        <v/>
      </c>
      <c r="S18">
        <f>IFERROR(AVERAGE(S4:S15),"")</f>
        <v/>
      </c>
      <c r="T18">
        <f>IFERROR(AVERAGE(T4:T15),"")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9</t>
        </is>
      </c>
      <c r="B1" s="1" t="inlineStr">
        <is>
          <t>Final Ranking Coaches Poll:</t>
        </is>
      </c>
      <c r="C1" s="1" t="inlineStr">
        <is>
          <t>Playoffs: Yes</t>
        </is>
      </c>
      <c r="D1" s="1" t="inlineStr">
        <is>
          <t>Conference: Independent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>
        <is>
          <t>Miami</t>
        </is>
      </c>
      <c r="C4" t="n">
        <v>24</v>
      </c>
      <c r="D4" t="n">
        <v>27</v>
      </c>
      <c r="E4" t="n">
        <v>-3</v>
      </c>
      <c r="F4" t="n">
        <v>-107</v>
      </c>
      <c r="G4">
        <f>IFERROR(E4*(F4/-105),"")</f>
        <v/>
      </c>
      <c r="H4">
        <f>IFERROR((C4-D4)+E4,"")</f>
        <v/>
      </c>
      <c r="I4" t="n">
        <v>50.5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S4" t="n">
        <v>-148</v>
      </c>
      <c r="T4">
        <f>IFERROR(IF(S4&gt;0,100/(100+S4),ABS(S4)/(100+ABS(S4))),"")</f>
        <v/>
      </c>
    </row>
    <row r="5">
      <c r="A5" t="n">
        <v>3</v>
      </c>
      <c r="B5" t="inlineStr">
        <is>
          <t>Texas A&amp;M</t>
        </is>
      </c>
      <c r="C5" t="n">
        <v>40</v>
      </c>
      <c r="D5" t="n">
        <v>41</v>
      </c>
      <c r="E5" t="n">
        <v>-6.5</v>
      </c>
      <c r="F5" t="n">
        <v>-114</v>
      </c>
      <c r="G5">
        <f>IFERROR(E5*(F5/-105),"")</f>
        <v/>
      </c>
      <c r="H5">
        <f>IFERROR((C5-D5)+E5,"")</f>
        <v/>
      </c>
      <c r="I5" t="n">
        <v>49.5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S5" t="n">
        <v>-253</v>
      </c>
      <c r="T5">
        <f>IFERROR(IF(S5&gt;0,100/(100+S5),ABS(S5)/(100+ABS(S5))),"")</f>
        <v/>
      </c>
    </row>
    <row r="6">
      <c r="A6" t="n">
        <v>4</v>
      </c>
      <c r="B6" t="inlineStr">
        <is>
          <t>Purdue</t>
        </is>
      </c>
      <c r="C6" t="n">
        <v>56</v>
      </c>
      <c r="D6" t="n">
        <v>30</v>
      </c>
      <c r="E6" t="n">
        <v>-24.5</v>
      </c>
      <c r="F6" t="n">
        <v>-112</v>
      </c>
      <c r="G6">
        <f>IFERROR(E6*(F6/-105),"")</f>
        <v/>
      </c>
      <c r="H6">
        <f>IFERROR((C6-D6)+E6,"")</f>
        <v/>
      </c>
      <c r="I6" t="n">
        <v>51.5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S6" t="n">
        <v>-3251</v>
      </c>
      <c r="T6">
        <f>IFERROR(IF(S6&gt;0,100/(100+S6),ABS(S6)/(100+ABS(S6))),"")</f>
        <v/>
      </c>
    </row>
    <row r="7">
      <c r="A7" t="n">
        <v>5</v>
      </c>
      <c r="B7" t="inlineStr">
        <is>
          <t>Arkansas</t>
        </is>
      </c>
      <c r="C7" t="n">
        <v>56</v>
      </c>
      <c r="D7" t="n">
        <v>13</v>
      </c>
      <c r="E7" t="n">
        <v>-5.5</v>
      </c>
      <c r="F7" t="n">
        <v>-109</v>
      </c>
      <c r="G7">
        <f>IFERROR(E7*(F7/-105),"")</f>
        <v/>
      </c>
      <c r="H7">
        <f>IFERROR((C7-D7)+E7,"")</f>
        <v/>
      </c>
      <c r="I7" t="n">
        <v>63.5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S7" t="n">
        <v>-212</v>
      </c>
      <c r="T7">
        <f>IFERROR(IF(S7&gt;0,100/(100+S7),ABS(S7)/(100+ABS(S7))),"")</f>
        <v/>
      </c>
    </row>
    <row r="8">
      <c r="A8" t="n">
        <v>6</v>
      </c>
      <c r="B8" t="inlineStr">
        <is>
          <t>Boise State</t>
        </is>
      </c>
      <c r="C8" t="n">
        <v>28</v>
      </c>
      <c r="D8" t="n">
        <v>7</v>
      </c>
      <c r="E8" t="n">
        <v>-21.5</v>
      </c>
      <c r="F8" t="n">
        <v>-110</v>
      </c>
      <c r="G8">
        <f>IFERROR(E8*(F8/-105),"")</f>
        <v/>
      </c>
      <c r="H8">
        <f>IFERROR((C8-D8)+E8,"")</f>
        <v/>
      </c>
      <c r="I8" t="n">
        <v>63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S8" t="n">
        <v>-1538</v>
      </c>
      <c r="T8">
        <f>IFERROR(IF(S8&gt;0,100/(100+S8),ABS(S8)/(100+ABS(S8))),"")</f>
        <v/>
      </c>
    </row>
    <row r="9">
      <c r="A9" t="n">
        <v>7</v>
      </c>
      <c r="B9" t="inlineStr">
        <is>
          <t>North Carolina State</t>
        </is>
      </c>
      <c r="C9" t="n">
        <v>36</v>
      </c>
      <c r="D9" t="n">
        <v>7</v>
      </c>
      <c r="E9" t="n">
        <v>-24</v>
      </c>
      <c r="F9" t="n">
        <v>-107</v>
      </c>
      <c r="G9">
        <f>IFERROR(E9*(F9/-105),"")</f>
        <v/>
      </c>
      <c r="H9">
        <f>IFERROR((C9-D9)+E9,"")</f>
        <v/>
      </c>
      <c r="I9" t="n">
        <v>59.5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S9" t="n">
        <v>-2354</v>
      </c>
      <c r="T9">
        <f>IFERROR(IF(S9&gt;0,100/(100+S9),ABS(S9)/(100+ABS(S9))),"")</f>
        <v/>
      </c>
    </row>
    <row r="10">
      <c r="A10" t="n">
        <v>8</v>
      </c>
      <c r="B10" t="inlineStr">
        <is>
          <t>USC</t>
        </is>
      </c>
      <c r="C10" t="n">
        <v>34</v>
      </c>
      <c r="D10" t="n">
        <v>24</v>
      </c>
      <c r="E10" t="n">
        <v>-10.5</v>
      </c>
      <c r="F10" t="n">
        <v>-109</v>
      </c>
      <c r="G10">
        <f>IFERROR(E10*(F10/-105),"")</f>
        <v/>
      </c>
      <c r="H10">
        <f>IFERROR((C10-D10)+E10,"")</f>
        <v/>
      </c>
      <c r="I10" t="n">
        <v>60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S10" t="n">
        <v>-392</v>
      </c>
      <c r="T10">
        <f>IFERROR(IF(S10&gt;0,100/(100+S10),ABS(S10)/(100+ABS(S10))),"")</f>
        <v/>
      </c>
    </row>
    <row r="11">
      <c r="A11" t="n">
        <v>10</v>
      </c>
      <c r="B11" t="inlineStr">
        <is>
          <t>Boston College</t>
        </is>
      </c>
      <c r="C11" t="n">
        <v>25</v>
      </c>
      <c r="D11" t="n">
        <v>10</v>
      </c>
      <c r="E11" t="n">
        <v>-31</v>
      </c>
      <c r="F11" t="n">
        <v>-114</v>
      </c>
      <c r="G11">
        <f>IFERROR(E11*(F11/-105),"")</f>
        <v/>
      </c>
      <c r="H11">
        <f>IFERROR((C11-D11)+E11,"")</f>
        <v/>
      </c>
      <c r="I11" t="n">
        <v>55.5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S11" t="n">
        <v>-9125</v>
      </c>
      <c r="T11">
        <f>IFERROR(IF(S11&gt;0,100/(100+S11),ABS(S11)/(100+ABS(S11))),"")</f>
        <v/>
      </c>
    </row>
    <row r="12">
      <c r="A12" t="n">
        <v>11</v>
      </c>
      <c r="B12" t="inlineStr">
        <is>
          <t>Navy</t>
        </is>
      </c>
      <c r="C12" t="n">
        <v>49</v>
      </c>
      <c r="D12" t="n">
        <v>10</v>
      </c>
      <c r="E12" t="n">
        <v>-31</v>
      </c>
      <c r="F12" t="n">
        <v>-108</v>
      </c>
      <c r="G12">
        <f>IFERROR(E12*(F12/-105),"")</f>
        <v/>
      </c>
      <c r="H12">
        <f>IFERROR((C12-D12)+E12,"")</f>
        <v/>
      </c>
      <c r="I12" t="n">
        <v>54.5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-7083</v>
      </c>
      <c r="T12">
        <f>IFERROR(IF(S12&gt;0,100/(100+S12),ABS(S12)/(100+ABS(S12))),"")</f>
        <v/>
      </c>
    </row>
    <row r="13">
      <c r="A13" t="n">
        <v>12</v>
      </c>
      <c r="B13" t="inlineStr">
        <is>
          <t>Pittsburgh</t>
        </is>
      </c>
      <c r="C13" t="n">
        <v>37</v>
      </c>
      <c r="D13" t="n">
        <v>15</v>
      </c>
      <c r="E13" t="n">
        <v>-13</v>
      </c>
      <c r="F13" t="n">
        <v>-109</v>
      </c>
      <c r="G13">
        <f>IFERROR(E13*(F13/-105),"")</f>
        <v/>
      </c>
      <c r="H13">
        <f>IFERROR((C13-D13)+E13,"")</f>
        <v/>
      </c>
      <c r="I13" t="n">
        <v>54.5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S13" t="n">
        <v>-487</v>
      </c>
      <c r="T13">
        <f>IFERROR(IF(S13&gt;0,100/(100+S13),ABS(S13)/(100+ABS(S13))),"")</f>
        <v/>
      </c>
    </row>
    <row r="14">
      <c r="A14" t="n">
        <v>13</v>
      </c>
      <c r="B14" t="inlineStr">
        <is>
          <t>Syracuse</t>
        </is>
      </c>
      <c r="C14" t="n">
        <v>70</v>
      </c>
      <c r="D14" t="n">
        <v>7</v>
      </c>
      <c r="E14" t="n">
        <v>-37</v>
      </c>
      <c r="F14" t="n">
        <v>-108</v>
      </c>
      <c r="G14">
        <f>IFERROR(E14*(F14/-105),"")</f>
        <v/>
      </c>
      <c r="H14">
        <f>IFERROR((C14-D14)+E14,"")</f>
        <v/>
      </c>
      <c r="I14" t="n">
        <v>51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T14">
        <f>IFERROR(IF(S14&gt;0,100/(100+S14),ABS(S14)/(100+ABS(S14))),"")</f>
        <v/>
      </c>
    </row>
    <row r="15">
      <c r="A15" t="n">
        <v>14</v>
      </c>
      <c r="B15" t="inlineStr">
        <is>
          <t>Stanford</t>
        </is>
      </c>
      <c r="C15" t="n">
        <v>49</v>
      </c>
      <c r="D15" t="n">
        <v>20</v>
      </c>
      <c r="E15" t="n">
        <v>-32.5</v>
      </c>
      <c r="F15" t="n">
        <v>-110</v>
      </c>
      <c r="G15">
        <f>IFERROR(E15*(F15/-105),"")</f>
        <v/>
      </c>
      <c r="H15">
        <f>IFERROR((C15-D15)+E15,"")</f>
        <v/>
      </c>
      <c r="I15" t="n">
        <v>49.5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-15000</v>
      </c>
      <c r="T15">
        <f>IFERROR(IF(S15&gt;0,100/(100+S15),ABS(S15)/(100+ABS(S15))),"")</f>
        <v/>
      </c>
    </row>
    <row r="17">
      <c r="A17" s="3" t="inlineStr">
        <is>
          <t>Net</t>
        </is>
      </c>
      <c r="C17">
        <f>SUM(C4:C15)</f>
        <v/>
      </c>
      <c r="D17">
        <f>SUM(D4:D15)</f>
        <v/>
      </c>
      <c r="E17">
        <f>SUM(E4:E15)</f>
        <v/>
      </c>
      <c r="F17">
        <f>SUM(F4:F15)</f>
        <v/>
      </c>
      <c r="G17">
        <f>SUM(G4:G15)</f>
        <v/>
      </c>
      <c r="H17">
        <f>SUM(H4:H15)</f>
        <v/>
      </c>
      <c r="I17">
        <f>SUM(I4:I15)</f>
        <v/>
      </c>
      <c r="J17">
        <f>SUM(J4:J15)</f>
        <v/>
      </c>
      <c r="K17">
        <f>SUM(K4:K15)</f>
        <v/>
      </c>
      <c r="L17">
        <f>SUM(L4:L15)</f>
        <v/>
      </c>
      <c r="M17">
        <f>SUM(M4:M15)</f>
        <v/>
      </c>
      <c r="N17">
        <f>SUM(N4:N15)</f>
        <v/>
      </c>
      <c r="O17">
        <f>SUM(O4:O15)</f>
        <v/>
      </c>
      <c r="P17">
        <f>SUM(P4:P15)</f>
        <v/>
      </c>
      <c r="Q17">
        <f>SUM(Q4:Q15)</f>
        <v/>
      </c>
      <c r="R17">
        <f>SUM(R4:R15)</f>
        <v/>
      </c>
      <c r="S17">
        <f>SUM(S4:S15)</f>
        <v/>
      </c>
      <c r="T17">
        <f>SUM(T4:T15)</f>
        <v/>
      </c>
    </row>
    <row r="18">
      <c r="A18" s="3" t="inlineStr">
        <is>
          <t>Average</t>
        </is>
      </c>
      <c r="C18">
        <f>IFERROR(AVERAGE(C4:C15),"")</f>
        <v/>
      </c>
      <c r="D18">
        <f>IFERROR(AVERAGE(D4:D15),"")</f>
        <v/>
      </c>
      <c r="E18">
        <f>IFERROR(AVERAGE(E4:E15),"")</f>
        <v/>
      </c>
      <c r="F18">
        <f>IFERROR(AVERAGE(F4:F15),"")</f>
        <v/>
      </c>
      <c r="G18">
        <f>IFERROR(AVERAGE(G4:G15),"")</f>
        <v/>
      </c>
      <c r="H18">
        <f>IFERROR(AVERAGE(H4:H15),"")</f>
        <v/>
      </c>
      <c r="I18">
        <f>IFERROR(AVERAGE(I4:I15),"")</f>
        <v/>
      </c>
      <c r="J18">
        <f>IFERROR(AVERAGE(J4:J15),"")</f>
        <v/>
      </c>
      <c r="K18">
        <f>IFERROR(AVERAGE(K4:K15),"")</f>
        <v/>
      </c>
      <c r="L18">
        <f>IFERROR(AVERAGE(L4:L15),"")</f>
        <v/>
      </c>
      <c r="M18">
        <f>IFERROR(AVERAGE(M4:M15),"")</f>
        <v/>
      </c>
      <c r="N18">
        <f>IFERROR(AVERAGE(N4:N15),"")</f>
        <v/>
      </c>
      <c r="O18">
        <f>IFERROR(AVERAGE(O4:O15),"")</f>
        <v/>
      </c>
      <c r="P18">
        <f>IFERROR(AVERAGE(P4:P15),"")</f>
        <v/>
      </c>
      <c r="Q18">
        <f>IFERROR(AVERAGE(Q4:Q15),"")</f>
        <v/>
      </c>
      <c r="R18">
        <f>IFERROR(AVERAGE(R4:R15),"")</f>
        <v/>
      </c>
      <c r="S18">
        <f>IFERROR(AVERAGE(S4:S15),"")</f>
        <v/>
      </c>
      <c r="T18">
        <f>IFERROR(AVERAGE(T4:T15),"")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10</t>
        </is>
      </c>
      <c r="B1" s="1" t="inlineStr">
        <is>
          <t>Final Ranking Coaches Poll:</t>
        </is>
      </c>
      <c r="C1" s="1" t="inlineStr">
        <is>
          <t>Playoffs: Yes</t>
        </is>
      </c>
      <c r="D1" s="1" t="inlineStr">
        <is>
          <t>Conference: ACC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>
        <is>
          <t>Notre Dame</t>
        </is>
      </c>
      <c r="C4" t="n">
        <v>27</v>
      </c>
      <c r="D4" t="n">
        <v>24</v>
      </c>
      <c r="E4" t="n">
        <v>3</v>
      </c>
      <c r="F4" t="n">
        <v>-113</v>
      </c>
      <c r="G4">
        <f>IFERROR(E4*(F4/-105),"")</f>
        <v/>
      </c>
      <c r="H4">
        <f>IFERROR((C4-D4)+E4,"")</f>
        <v/>
      </c>
      <c r="I4" t="n">
        <v>50.5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S4" t="n">
        <v>123</v>
      </c>
      <c r="T4">
        <f>IFERROR(IF(S4&gt;0,100/(100+S4),ABS(S4)/(100+ABS(S4))),"")</f>
        <v/>
      </c>
    </row>
    <row r="5">
      <c r="A5" t="n">
        <v>2</v>
      </c>
      <c r="B5" t="inlineStr">
        <is>
          <t>Bethune-Cookman</t>
        </is>
      </c>
      <c r="C5" t="n">
        <v>45</v>
      </c>
      <c r="D5" t="n">
        <v>3</v>
      </c>
      <c r="E5" t="n">
        <v>-54.5</v>
      </c>
      <c r="F5" t="n">
        <v>-111</v>
      </c>
      <c r="G5">
        <f>IFERROR(E5*(F5/-105),"")</f>
        <v/>
      </c>
      <c r="H5">
        <f>IFERROR((C5-D5)+E5,"")</f>
        <v/>
      </c>
      <c r="I5" t="n">
        <v>64.5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T5">
        <f>IFERROR(IF(S5&gt;0,100/(100+S5),ABS(S5)/(100+ABS(S5))),"")</f>
        <v/>
      </c>
    </row>
    <row r="6">
      <c r="A6" t="n">
        <v>3</v>
      </c>
      <c r="B6" t="inlineStr">
        <is>
          <t>South Florida</t>
        </is>
      </c>
      <c r="C6" t="n">
        <v>49</v>
      </c>
      <c r="D6" t="n">
        <v>12</v>
      </c>
      <c r="E6" t="n">
        <v>-17</v>
      </c>
      <c r="F6" t="n">
        <v>-119</v>
      </c>
      <c r="G6">
        <f>IFERROR(E6*(F6/-105),"")</f>
        <v/>
      </c>
      <c r="H6">
        <f>IFERROR((C6-D6)+E6,"")</f>
        <v/>
      </c>
      <c r="I6" t="n">
        <v>56.5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S6" t="n">
        <v>-776</v>
      </c>
      <c r="T6">
        <f>IFERROR(IF(S6&gt;0,100/(100+S6),ABS(S6)/(100+ABS(S6))),"")</f>
        <v/>
      </c>
    </row>
    <row r="7">
      <c r="A7" t="n">
        <v>4</v>
      </c>
      <c r="B7" t="inlineStr">
        <is>
          <t>Florida</t>
        </is>
      </c>
      <c r="C7" t="n">
        <v>26</v>
      </c>
      <c r="D7" t="n">
        <v>7</v>
      </c>
      <c r="E7" t="n">
        <v>-8.5</v>
      </c>
      <c r="F7" t="n">
        <v>-109</v>
      </c>
      <c r="G7">
        <f>IFERROR(E7*(F7/-105),"")</f>
        <v/>
      </c>
      <c r="H7">
        <f>IFERROR((C7-D7)+E7,"")</f>
        <v/>
      </c>
      <c r="I7" t="n">
        <v>51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S7" t="n">
        <v>-325</v>
      </c>
      <c r="T7">
        <f>IFERROR(IF(S7&gt;0,100/(100+S7),ABS(S7)/(100+ABS(S7))),"")</f>
        <v/>
      </c>
    </row>
    <row r="8">
      <c r="A8" t="n">
        <v>6</v>
      </c>
      <c r="B8" t="inlineStr">
        <is>
          <t>Florida State</t>
        </is>
      </c>
      <c r="C8" t="n">
        <v>28</v>
      </c>
      <c r="D8" t="n">
        <v>22</v>
      </c>
      <c r="E8" t="n">
        <v>-3.5</v>
      </c>
      <c r="F8" t="n">
        <v>-109</v>
      </c>
      <c r="G8">
        <f>IFERROR(E8*(F8/-105),"")</f>
        <v/>
      </c>
      <c r="H8">
        <f>IFERROR((C8-D8)+E8,"")</f>
        <v/>
      </c>
      <c r="I8" t="n">
        <v>54.5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S8" t="n">
        <v>-171</v>
      </c>
      <c r="T8">
        <f>IFERROR(IF(S8&gt;0,100/(100+S8),ABS(S8)/(100+ABS(S8))),"")</f>
        <v/>
      </c>
    </row>
    <row r="9">
      <c r="A9" t="n">
        <v>8</v>
      </c>
      <c r="B9" t="inlineStr">
        <is>
          <t>Louisville</t>
        </is>
      </c>
      <c r="C9" t="n">
        <v>21</v>
      </c>
      <c r="D9" t="n">
        <v>24</v>
      </c>
      <c r="E9" t="n">
        <v>-10.5</v>
      </c>
      <c r="F9" t="n">
        <v>-108</v>
      </c>
      <c r="G9">
        <f>IFERROR(E9*(F9/-105),"")</f>
        <v/>
      </c>
      <c r="H9">
        <f>IFERROR((C9-D9)+E9,"")</f>
        <v/>
      </c>
      <c r="I9" t="n">
        <v>49.5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S9" t="n">
        <v>-452</v>
      </c>
      <c r="T9">
        <f>IFERROR(IF(S9&gt;0,100/(100+S9),ABS(S9)/(100+ABS(S9))),"")</f>
        <v/>
      </c>
    </row>
    <row r="10">
      <c r="A10" t="n">
        <v>9</v>
      </c>
      <c r="B10" t="inlineStr">
        <is>
          <t>Stanford</t>
        </is>
      </c>
      <c r="C10" t="n">
        <v>42</v>
      </c>
      <c r="D10" t="n">
        <v>7</v>
      </c>
      <c r="E10" t="n">
        <v>-29.5</v>
      </c>
      <c r="F10" t="n">
        <v>-112</v>
      </c>
      <c r="G10">
        <f>IFERROR(E10*(F10/-105),"")</f>
        <v/>
      </c>
      <c r="H10">
        <f>IFERROR((C10-D10)+E10,"")</f>
        <v/>
      </c>
      <c r="I10" t="n">
        <v>45.5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T10">
        <f>IFERROR(IF(S10&gt;0,100/(100+S10),ABS(S10)/(100+ABS(S10))),"")</f>
        <v/>
      </c>
    </row>
    <row r="11">
      <c r="A11" t="n">
        <v>10</v>
      </c>
      <c r="B11" t="inlineStr">
        <is>
          <t>SMU</t>
        </is>
      </c>
      <c r="C11" t="n">
        <v>20</v>
      </c>
      <c r="D11" t="n">
        <v>26</v>
      </c>
      <c r="E11" t="n">
        <v>-8.5</v>
      </c>
      <c r="F11" t="n">
        <v>-111</v>
      </c>
      <c r="G11">
        <f>IFERROR(E11*(F11/-105),"")</f>
        <v/>
      </c>
      <c r="H11">
        <f>IFERROR((C11-D11)+E11,"")</f>
        <v/>
      </c>
      <c r="I11" t="n">
        <v>50.5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S11" t="n">
        <v>-338</v>
      </c>
      <c r="T11">
        <f>IFERROR(IF(S11&gt;0,100/(100+S11),ABS(S11)/(100+ABS(S11))),"")</f>
        <v/>
      </c>
    </row>
    <row r="12">
      <c r="A12" t="n">
        <v>11</v>
      </c>
      <c r="B12" t="inlineStr">
        <is>
          <t>Syracuse</t>
        </is>
      </c>
      <c r="C12" t="n">
        <v>38</v>
      </c>
      <c r="D12" t="n">
        <v>10</v>
      </c>
      <c r="E12" t="n">
        <v>-28.5</v>
      </c>
      <c r="F12" t="n">
        <v>-112</v>
      </c>
      <c r="G12">
        <f>IFERROR(E12*(F12/-105),"")</f>
        <v/>
      </c>
      <c r="H12">
        <f>IFERROR((C12-D12)+E12,"")</f>
        <v/>
      </c>
      <c r="I12" t="n">
        <v>46.5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-9000</v>
      </c>
      <c r="T12">
        <f>IFERROR(IF(S12&gt;0,100/(100+S12),ABS(S12)/(100+ABS(S12))),"")</f>
        <v/>
      </c>
    </row>
    <row r="13">
      <c r="A13" t="n">
        <v>12</v>
      </c>
      <c r="B13" t="inlineStr">
        <is>
          <t>North Carolina State</t>
        </is>
      </c>
      <c r="C13" t="n">
        <v>41</v>
      </c>
      <c r="D13" t="n">
        <v>7</v>
      </c>
      <c r="E13" t="n">
        <v>-15.5</v>
      </c>
      <c r="F13" t="n">
        <v>-113</v>
      </c>
      <c r="G13">
        <f>IFERROR(E13*(F13/-105),"")</f>
        <v/>
      </c>
      <c r="H13">
        <f>IFERROR((C13-D13)+E13,"")</f>
        <v/>
      </c>
      <c r="I13" t="n">
        <v>54.5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S13" t="n">
        <v>-694</v>
      </c>
      <c r="T13">
        <f>IFERROR(IF(S13&gt;0,100/(100+S13),ABS(S13)/(100+ABS(S13))),"")</f>
        <v/>
      </c>
    </row>
    <row r="14">
      <c r="A14" t="n">
        <v>13</v>
      </c>
      <c r="B14" t="inlineStr">
        <is>
          <t>Virginia Tech</t>
        </is>
      </c>
      <c r="C14" t="n">
        <v>34</v>
      </c>
      <c r="D14" t="n">
        <v>17</v>
      </c>
      <c r="E14" t="n">
        <v>-18</v>
      </c>
      <c r="F14" t="n">
        <v>-114</v>
      </c>
      <c r="G14">
        <f>IFERROR(E14*(F14/-105),"")</f>
        <v/>
      </c>
      <c r="H14">
        <f>IFERROR((C14-D14)+E14,"")</f>
        <v/>
      </c>
      <c r="I14" t="n">
        <v>49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S14" t="n">
        <v>-986</v>
      </c>
      <c r="T14">
        <f>IFERROR(IF(S14&gt;0,100/(100+S14),ABS(S14)/(100+ABS(S14))),"")</f>
        <v/>
      </c>
    </row>
    <row r="15">
      <c r="A15" t="n">
        <v>14</v>
      </c>
      <c r="B15" t="inlineStr">
        <is>
          <t>Pittsburgh</t>
        </is>
      </c>
      <c r="C15" t="n">
        <v>38</v>
      </c>
      <c r="D15" t="n">
        <v>7</v>
      </c>
      <c r="E15" t="n">
        <v>-6.5</v>
      </c>
      <c r="F15" t="n">
        <v>-115</v>
      </c>
      <c r="G15">
        <f>IFERROR(E15*(F15/-105),"")</f>
        <v/>
      </c>
      <c r="H15">
        <f>IFERROR((C15-D15)+E15,"")</f>
        <v/>
      </c>
      <c r="I15" t="n">
        <v>48.5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-252</v>
      </c>
      <c r="T15">
        <f>IFERROR(IF(S15&gt;0,100/(100+S15),ABS(S15)/(100+ABS(S15))),"")</f>
        <v/>
      </c>
    </row>
    <row r="17">
      <c r="A17" s="3" t="inlineStr">
        <is>
          <t>Net</t>
        </is>
      </c>
      <c r="C17">
        <f>SUM(C4:C15)</f>
        <v/>
      </c>
      <c r="D17">
        <f>SUM(D4:D15)</f>
        <v/>
      </c>
      <c r="E17">
        <f>SUM(E4:E15)</f>
        <v/>
      </c>
      <c r="F17">
        <f>SUM(F4:F15)</f>
        <v/>
      </c>
      <c r="G17">
        <f>SUM(G4:G15)</f>
        <v/>
      </c>
      <c r="H17">
        <f>SUM(H4:H15)</f>
        <v/>
      </c>
      <c r="I17">
        <f>SUM(I4:I15)</f>
        <v/>
      </c>
      <c r="J17">
        <f>SUM(J4:J15)</f>
        <v/>
      </c>
      <c r="K17">
        <f>SUM(K4:K15)</f>
        <v/>
      </c>
      <c r="L17">
        <f>SUM(L4:L15)</f>
        <v/>
      </c>
      <c r="M17">
        <f>SUM(M4:M15)</f>
        <v/>
      </c>
      <c r="N17">
        <f>SUM(N4:N15)</f>
        <v/>
      </c>
      <c r="O17">
        <f>SUM(O4:O15)</f>
        <v/>
      </c>
      <c r="P17">
        <f>SUM(P4:P15)</f>
        <v/>
      </c>
      <c r="Q17">
        <f>SUM(Q4:Q15)</f>
        <v/>
      </c>
      <c r="R17">
        <f>SUM(R4:R15)</f>
        <v/>
      </c>
      <c r="S17">
        <f>SUM(S4:S15)</f>
        <v/>
      </c>
      <c r="T17">
        <f>SUM(T4:T15)</f>
        <v/>
      </c>
    </row>
    <row r="18">
      <c r="A18" s="3" t="inlineStr">
        <is>
          <t>Average</t>
        </is>
      </c>
      <c r="C18">
        <f>IFERROR(AVERAGE(C4:C15),"")</f>
        <v/>
      </c>
      <c r="D18">
        <f>IFERROR(AVERAGE(D4:D15),"")</f>
        <v/>
      </c>
      <c r="E18">
        <f>IFERROR(AVERAGE(E4:E15),"")</f>
        <v/>
      </c>
      <c r="F18">
        <f>IFERROR(AVERAGE(F4:F15),"")</f>
        <v/>
      </c>
      <c r="G18">
        <f>IFERROR(AVERAGE(G4:G15),"")</f>
        <v/>
      </c>
      <c r="H18">
        <f>IFERROR(AVERAGE(H4:H15),"")</f>
        <v/>
      </c>
      <c r="I18">
        <f>IFERROR(AVERAGE(I4:I15),"")</f>
        <v/>
      </c>
      <c r="J18">
        <f>IFERROR(AVERAGE(J4:J15),"")</f>
        <v/>
      </c>
      <c r="K18">
        <f>IFERROR(AVERAGE(K4:K15),"")</f>
        <v/>
      </c>
      <c r="L18">
        <f>IFERROR(AVERAGE(L4:L15),"")</f>
        <v/>
      </c>
      <c r="M18">
        <f>IFERROR(AVERAGE(M4:M15),"")</f>
        <v/>
      </c>
      <c r="N18">
        <f>IFERROR(AVERAGE(N4:N15),"")</f>
        <v/>
      </c>
      <c r="O18">
        <f>IFERROR(AVERAGE(O4:O15),"")</f>
        <v/>
      </c>
      <c r="P18">
        <f>IFERROR(AVERAGE(P4:P15),"")</f>
        <v/>
      </c>
      <c r="Q18">
        <f>IFERROR(AVERAGE(Q4:Q15),"")</f>
        <v/>
      </c>
      <c r="R18">
        <f>IFERROR(AVERAGE(R4:R15),"")</f>
        <v/>
      </c>
      <c r="S18">
        <f>IFERROR(AVERAGE(S4:S15),"")</f>
        <v/>
      </c>
      <c r="T18">
        <f>IFERROR(AVERAGE(T4:T15),"")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11</t>
        </is>
      </c>
      <c r="B1" s="1" t="inlineStr">
        <is>
          <t>Final Ranking Coaches Poll:</t>
        </is>
      </c>
      <c r="C1" s="1" t="inlineStr">
        <is>
          <t>Playoffs: Yes</t>
        </is>
      </c>
      <c r="D1" s="1" t="inlineStr">
        <is>
          <t>Conference: SEC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>
        <is>
          <t>Florida State</t>
        </is>
      </c>
      <c r="C4" t="n">
        <v>17</v>
      </c>
      <c r="D4" t="n">
        <v>31</v>
      </c>
      <c r="E4" t="n">
        <v>-13.5</v>
      </c>
      <c r="F4" t="n">
        <v>-115</v>
      </c>
      <c r="G4">
        <f>IFERROR(E4*(F4/-105),"")</f>
        <v/>
      </c>
      <c r="H4">
        <f>IFERROR((C4-D4)+E4,"")</f>
        <v/>
      </c>
      <c r="I4" t="n">
        <v>47.5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S4" t="n">
        <v>-626</v>
      </c>
      <c r="T4">
        <f>IFERROR(IF(S4&gt;0,100/(100+S4),ABS(S4)/(100+ABS(S4))),"")</f>
        <v/>
      </c>
    </row>
    <row r="5">
      <c r="A5" t="n">
        <v>2</v>
      </c>
      <c r="B5" t="inlineStr">
        <is>
          <t>Louisiana-Monroe</t>
        </is>
      </c>
      <c r="C5" t="n">
        <v>73</v>
      </c>
      <c r="D5" t="n">
        <v>0</v>
      </c>
      <c r="E5" t="n">
        <v>-34.5</v>
      </c>
      <c r="F5" t="n">
        <v>-112</v>
      </c>
      <c r="G5">
        <f>IFERROR(E5*(F5/-105),"")</f>
        <v/>
      </c>
      <c r="H5">
        <f>IFERROR((C5-D5)+E5,"")</f>
        <v/>
      </c>
      <c r="I5" t="n">
        <v>49.5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T5">
        <f>IFERROR(IF(S5&gt;0,100/(100+S5),ABS(S5)/(100+ABS(S5))),"")</f>
        <v/>
      </c>
    </row>
    <row r="6">
      <c r="A6" t="n">
        <v>3</v>
      </c>
      <c r="B6" t="inlineStr">
        <is>
          <t>Wisconsin</t>
        </is>
      </c>
      <c r="C6" t="n">
        <v>38</v>
      </c>
      <c r="D6" t="n">
        <v>14</v>
      </c>
      <c r="E6" t="n">
        <v>-19</v>
      </c>
      <c r="F6" t="n">
        <v>-110</v>
      </c>
      <c r="G6">
        <f>IFERROR(E6*(F6/-105),"")</f>
        <v/>
      </c>
      <c r="H6">
        <f>IFERROR((C6-D6)+E6,"")</f>
        <v/>
      </c>
      <c r="I6" t="n">
        <v>45.5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S6" t="n">
        <v>-1245</v>
      </c>
      <c r="T6">
        <f>IFERROR(IF(S6&gt;0,100/(100+S6),ABS(S6)/(100+ABS(S6))),"")</f>
        <v/>
      </c>
    </row>
    <row r="7">
      <c r="A7" t="n">
        <v>5</v>
      </c>
      <c r="B7" t="inlineStr">
        <is>
          <t>Georgia</t>
        </is>
      </c>
      <c r="C7" t="n">
        <v>24</v>
      </c>
      <c r="D7" t="n">
        <v>21</v>
      </c>
      <c r="E7" t="n">
        <v>2.5</v>
      </c>
      <c r="F7" t="n">
        <v>-112</v>
      </c>
      <c r="G7">
        <f>IFERROR(E7*(F7/-105),"")</f>
        <v/>
      </c>
      <c r="H7">
        <f>IFERROR((C7-D7)+E7,"")</f>
        <v/>
      </c>
      <c r="I7" t="n">
        <v>53.5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S7" t="n">
        <v>113</v>
      </c>
      <c r="T7">
        <f>IFERROR(IF(S7&gt;0,100/(100+S7),ABS(S7)/(100+ABS(S7))),"")</f>
        <v/>
      </c>
    </row>
    <row r="8">
      <c r="A8" t="n">
        <v>6</v>
      </c>
      <c r="B8" t="inlineStr">
        <is>
          <t>Vanderbilt</t>
        </is>
      </c>
      <c r="C8" t="n">
        <v>30</v>
      </c>
      <c r="D8" t="n">
        <v>14</v>
      </c>
      <c r="E8" t="n">
        <v>-12.5</v>
      </c>
      <c r="F8" t="n">
        <v>-112</v>
      </c>
      <c r="G8">
        <f>IFERROR(E8*(F8/-105),"")</f>
        <v/>
      </c>
      <c r="H8">
        <f>IFERROR((C8-D8)+E8,"")</f>
        <v/>
      </c>
      <c r="I8" t="n">
        <v>57.5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S8" t="n">
        <v>-497</v>
      </c>
      <c r="T8">
        <f>IFERROR(IF(S8&gt;0,100/(100+S8),ABS(S8)/(100+ABS(S8))),"")</f>
        <v/>
      </c>
    </row>
    <row r="9">
      <c r="A9" t="n">
        <v>7</v>
      </c>
      <c r="B9" t="inlineStr">
        <is>
          <t>Missouri</t>
        </is>
      </c>
      <c r="C9" t="n">
        <v>27</v>
      </c>
      <c r="D9" t="n">
        <v>24</v>
      </c>
      <c r="E9" t="n">
        <v>-3.5</v>
      </c>
      <c r="F9" t="n">
        <v>-107</v>
      </c>
      <c r="G9">
        <f>IFERROR(E9*(F9/-105),"")</f>
        <v/>
      </c>
      <c r="H9">
        <f>IFERROR((C9-D9)+E9,"")</f>
        <v/>
      </c>
      <c r="I9" t="n">
        <v>51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S9" t="n">
        <v>-167</v>
      </c>
      <c r="T9">
        <f>IFERROR(IF(S9&gt;0,100/(100+S9),ABS(S9)/(100+ABS(S9))),"")</f>
        <v/>
      </c>
    </row>
    <row r="10">
      <c r="A10" t="n">
        <v>8</v>
      </c>
      <c r="B10" t="inlineStr">
        <is>
          <t>Tennessee</t>
        </is>
      </c>
      <c r="C10" t="n">
        <v>37</v>
      </c>
      <c r="D10" t="n">
        <v>20</v>
      </c>
      <c r="E10" t="n">
        <v>-9.5</v>
      </c>
      <c r="F10" t="n">
        <v>-109</v>
      </c>
      <c r="G10">
        <f>IFERROR(E10*(F10/-105),"")</f>
        <v/>
      </c>
      <c r="H10">
        <f>IFERROR((C10-D10)+E10,"")</f>
        <v/>
      </c>
      <c r="I10" t="n">
        <v>61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S10" t="n">
        <v>-350</v>
      </c>
      <c r="T10">
        <f>IFERROR(IF(S10&gt;0,100/(100+S10),ABS(S10)/(100+ABS(S10))),"")</f>
        <v/>
      </c>
    </row>
    <row r="11">
      <c r="A11" t="n">
        <v>9</v>
      </c>
      <c r="B11" t="inlineStr">
        <is>
          <t>South Carolina</t>
        </is>
      </c>
      <c r="C11" t="n">
        <v>29</v>
      </c>
      <c r="D11" t="n">
        <v>22</v>
      </c>
      <c r="E11" t="n">
        <v>-11.5</v>
      </c>
      <c r="F11" t="n">
        <v>-113</v>
      </c>
      <c r="G11">
        <f>IFERROR(E11*(F11/-105),"")</f>
        <v/>
      </c>
      <c r="H11">
        <f>IFERROR((C11-D11)+E11,"")</f>
        <v/>
      </c>
      <c r="I11" t="n">
        <v>48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S11" t="n">
        <v>-471</v>
      </c>
      <c r="T11">
        <f>IFERROR(IF(S11&gt;0,100/(100+S11),ABS(S11)/(100+ABS(S11))),"")</f>
        <v/>
      </c>
    </row>
    <row r="12">
      <c r="A12" t="n">
        <v>11</v>
      </c>
      <c r="B12" t="inlineStr">
        <is>
          <t>LSU</t>
        </is>
      </c>
      <c r="C12" t="n">
        <v>20</v>
      </c>
      <c r="D12" t="n">
        <v>9</v>
      </c>
      <c r="E12" t="n">
        <v>-10</v>
      </c>
      <c r="F12" t="n">
        <v>-107</v>
      </c>
      <c r="G12">
        <f>IFERROR(E12*(F12/-105),"")</f>
        <v/>
      </c>
      <c r="H12">
        <f>IFERROR((C12-D12)+E12,"")</f>
        <v/>
      </c>
      <c r="I12" t="n">
        <v>49.5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-396</v>
      </c>
      <c r="T12">
        <f>IFERROR(IF(S12&gt;0,100/(100+S12),ABS(S12)/(100+ABS(S12))),"")</f>
        <v/>
      </c>
    </row>
    <row r="13">
      <c r="A13" t="n">
        <v>12</v>
      </c>
      <c r="B13" t="inlineStr">
        <is>
          <t>Oklahoma</t>
        </is>
      </c>
      <c r="C13" t="n">
        <v>21</v>
      </c>
      <c r="D13" t="n">
        <v>23</v>
      </c>
      <c r="E13" t="n">
        <v>-6.5</v>
      </c>
      <c r="F13" t="n">
        <v>-112</v>
      </c>
      <c r="G13">
        <f>IFERROR(E13*(F13/-105),"")</f>
        <v/>
      </c>
      <c r="H13">
        <f>IFERROR((C13-D13)+E13,"")</f>
        <v/>
      </c>
      <c r="I13" t="n">
        <v>45.5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S13" t="n">
        <v>-241</v>
      </c>
      <c r="T13">
        <f>IFERROR(IF(S13&gt;0,100/(100+S13),ABS(S13)/(100+ABS(S13))),"")</f>
        <v/>
      </c>
    </row>
    <row r="14">
      <c r="A14" t="n">
        <v>13</v>
      </c>
      <c r="B14" t="inlineStr">
        <is>
          <t>Eastern Illinois</t>
        </is>
      </c>
      <c r="C14" t="n">
        <v>56</v>
      </c>
      <c r="D14" t="n">
        <v>0</v>
      </c>
      <c r="E14" t="n">
        <v>-50.5</v>
      </c>
      <c r="F14" t="n">
        <v>-110</v>
      </c>
      <c r="G14">
        <f>IFERROR(E14*(F14/-105),"")</f>
        <v/>
      </c>
      <c r="H14">
        <f>IFERROR((C14-D14)+E14,"")</f>
        <v/>
      </c>
      <c r="I14" t="n">
        <v>57.5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T14">
        <f>IFERROR(IF(S14&gt;0,100/(100+S14),ABS(S14)/(100+ABS(S14))),"")</f>
        <v/>
      </c>
    </row>
    <row r="15">
      <c r="A15" t="n">
        <v>14</v>
      </c>
      <c r="B15" t="inlineStr">
        <is>
          <t>Auburn</t>
        </is>
      </c>
      <c r="C15" t="n">
        <v>27</v>
      </c>
      <c r="D15" t="n">
        <v>20</v>
      </c>
      <c r="E15" t="n">
        <v>-6.5</v>
      </c>
      <c r="F15" t="n">
        <v>-114</v>
      </c>
      <c r="G15">
        <f>IFERROR(E15*(F15/-105),"")</f>
        <v/>
      </c>
      <c r="H15">
        <f>IFERROR((C15-D15)+E15,"")</f>
        <v/>
      </c>
      <c r="I15" t="n">
        <v>47.5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-260</v>
      </c>
      <c r="T15">
        <f>IFERROR(IF(S15&gt;0,100/(100+S15),ABS(S15)/(100+ABS(S15))),"")</f>
        <v/>
      </c>
    </row>
    <row r="16">
      <c r="A16" t="n">
        <v>15</v>
      </c>
      <c r="B16" t="inlineStr">
        <is>
          <t>Georgia</t>
        </is>
      </c>
      <c r="C16" t="n">
        <v>7</v>
      </c>
      <c r="D16" t="n">
        <v>28</v>
      </c>
      <c r="E16" t="n">
        <v>1.5</v>
      </c>
      <c r="F16" t="n">
        <v>-109</v>
      </c>
      <c r="G16">
        <f>IFERROR(E16*(F16/-105),"")</f>
        <v/>
      </c>
      <c r="H16">
        <f>IFERROR((C16-D16)+E16,"")</f>
        <v/>
      </c>
      <c r="I16" t="n">
        <v>48.5</v>
      </c>
      <c r="J16">
        <f>IFERROR(I16/2-E16/2,"")</f>
        <v/>
      </c>
      <c r="K16">
        <f>IFERROR(C16-J16,"")</f>
        <v/>
      </c>
      <c r="L16">
        <f>IFERROR(I16/2+E16/2,"")</f>
        <v/>
      </c>
      <c r="M16">
        <f>IFERROR(D16-L16,"")</f>
        <v/>
      </c>
      <c r="N16">
        <f>IFERROR((C16-D16)+G16,"")</f>
        <v/>
      </c>
      <c r="O16">
        <f>IFERROR(I16/2-G16/2,"")</f>
        <v/>
      </c>
      <c r="P16">
        <f>IFERROR(C16-O16,"")</f>
        <v/>
      </c>
      <c r="Q16">
        <f>IFERROR(I16/2+G16/2,"")</f>
        <v/>
      </c>
      <c r="R16">
        <f>IFERROR(D16-Q16,"")</f>
        <v/>
      </c>
      <c r="S16" t="n">
        <v>104</v>
      </c>
      <c r="T16">
        <f>IFERROR(IF(S16&gt;0,100/(100+S16),ABS(S16)/(100+ABS(S16))),"")</f>
        <v/>
      </c>
    </row>
    <row r="18">
      <c r="A18" s="3" t="inlineStr">
        <is>
          <t>Net</t>
        </is>
      </c>
      <c r="C18">
        <f>SUM(C4:C16)</f>
        <v/>
      </c>
      <c r="D18">
        <f>SUM(D4:D16)</f>
        <v/>
      </c>
      <c r="E18">
        <f>SUM(E4:E16)</f>
        <v/>
      </c>
      <c r="F18">
        <f>SUM(F4:F16)</f>
        <v/>
      </c>
      <c r="G18">
        <f>SUM(G4:G16)</f>
        <v/>
      </c>
      <c r="H18">
        <f>SUM(H4:H16)</f>
        <v/>
      </c>
      <c r="I18">
        <f>SUM(I4:I16)</f>
        <v/>
      </c>
      <c r="J18">
        <f>SUM(J4:J16)</f>
        <v/>
      </c>
      <c r="K18">
        <f>SUM(K4:K16)</f>
        <v/>
      </c>
      <c r="L18">
        <f>SUM(L4:L16)</f>
        <v/>
      </c>
      <c r="M18">
        <f>SUM(M4:M16)</f>
        <v/>
      </c>
      <c r="N18">
        <f>SUM(N4:N16)</f>
        <v/>
      </c>
      <c r="O18">
        <f>SUM(O4:O16)</f>
        <v/>
      </c>
      <c r="P18">
        <f>SUM(P4:P16)</f>
        <v/>
      </c>
      <c r="Q18">
        <f>SUM(Q4:Q16)</f>
        <v/>
      </c>
      <c r="R18">
        <f>SUM(R4:R16)</f>
        <v/>
      </c>
      <c r="S18">
        <f>SUM(S4:S16)</f>
        <v/>
      </c>
      <c r="T18">
        <f>SUM(T4:T16)</f>
        <v/>
      </c>
    </row>
    <row r="19">
      <c r="A19" s="3" t="inlineStr">
        <is>
          <t>Average</t>
        </is>
      </c>
      <c r="C19">
        <f>IFERROR(AVERAGE(C4:C16),"")</f>
        <v/>
      </c>
      <c r="D19">
        <f>IFERROR(AVERAGE(D4:D16),"")</f>
        <v/>
      </c>
      <c r="E19">
        <f>IFERROR(AVERAGE(E4:E16),"")</f>
        <v/>
      </c>
      <c r="F19">
        <f>IFERROR(AVERAGE(F4:F16),"")</f>
        <v/>
      </c>
      <c r="G19">
        <f>IFERROR(AVERAGE(G4:G16),"")</f>
        <v/>
      </c>
      <c r="H19">
        <f>IFERROR(AVERAGE(H4:H16),"")</f>
        <v/>
      </c>
      <c r="I19">
        <f>IFERROR(AVERAGE(I4:I16),"")</f>
        <v/>
      </c>
      <c r="J19">
        <f>IFERROR(AVERAGE(J4:J16),"")</f>
        <v/>
      </c>
      <c r="K19">
        <f>IFERROR(AVERAGE(K4:K16),"")</f>
        <v/>
      </c>
      <c r="L19">
        <f>IFERROR(AVERAGE(L4:L16),"")</f>
        <v/>
      </c>
      <c r="M19">
        <f>IFERROR(AVERAGE(M4:M16),"")</f>
        <v/>
      </c>
      <c r="N19">
        <f>IFERROR(AVERAGE(N4:N16),"")</f>
        <v/>
      </c>
      <c r="O19">
        <f>IFERROR(AVERAGE(O4:O16),"")</f>
        <v/>
      </c>
      <c r="P19">
        <f>IFERROR(AVERAGE(P4:P16),"")</f>
        <v/>
      </c>
      <c r="Q19">
        <f>IFERROR(AVERAGE(Q4:Q16),"")</f>
        <v/>
      </c>
      <c r="R19">
        <f>IFERROR(AVERAGE(R4:R16),"")</f>
        <v/>
      </c>
      <c r="S19">
        <f>IFERROR(AVERAGE(S4:S16),"")</f>
        <v/>
      </c>
      <c r="T19">
        <f>IFERROR(AVERAGE(T4:T16),"")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12</t>
        </is>
      </c>
      <c r="B1" s="1" t="inlineStr">
        <is>
          <t>Final Ranking Coaches Poll:</t>
        </is>
      </c>
      <c r="C1" s="1" t="inlineStr">
        <is>
          <t>Playoffs: Yes</t>
        </is>
      </c>
      <c r="D1" s="1" t="inlineStr">
        <is>
          <t>Conference: BIG 12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>
        <is>
          <t>Portland State</t>
        </is>
      </c>
      <c r="C4" t="n">
        <v>69</v>
      </c>
      <c r="D4" t="n">
        <v>0</v>
      </c>
      <c r="E4" t="n">
        <v>-43.5</v>
      </c>
      <c r="F4" t="n">
        <v>-113</v>
      </c>
      <c r="G4">
        <f>IFERROR(E4*(F4/-105),"")</f>
        <v/>
      </c>
      <c r="H4">
        <f>IFERROR((C4-D4)+E4,"")</f>
        <v/>
      </c>
      <c r="I4" t="n">
        <v>61.5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T4">
        <f>IFERROR(IF(S4&gt;0,100/(100+S4),ABS(S4)/(100+ABS(S4))),"")</f>
        <v/>
      </c>
    </row>
    <row r="5">
      <c r="A5" t="n">
        <v>2</v>
      </c>
      <c r="B5" t="inlineStr">
        <is>
          <t>Stanford</t>
        </is>
      </c>
      <c r="C5" t="n">
        <v>27</v>
      </c>
      <c r="D5" t="n">
        <v>3</v>
      </c>
      <c r="E5" t="n">
        <v>-20.5</v>
      </c>
      <c r="F5" t="n">
        <v>-113</v>
      </c>
      <c r="G5">
        <f>IFERROR(E5*(F5/-105),"")</f>
        <v/>
      </c>
      <c r="H5">
        <f>IFERROR((C5-D5)+E5,"")</f>
        <v/>
      </c>
      <c r="I5" t="n">
        <v>44.5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S5" t="n">
        <v>-1649</v>
      </c>
      <c r="T5">
        <f>IFERROR(IF(S5&gt;0,100/(100+S5),ABS(S5)/(100+ABS(S5))),"")</f>
        <v/>
      </c>
    </row>
    <row r="6">
      <c r="A6" t="n">
        <v>4</v>
      </c>
      <c r="B6" t="inlineStr">
        <is>
          <t>East Carolina</t>
        </is>
      </c>
      <c r="C6" t="n">
        <v>34</v>
      </c>
      <c r="D6" t="n">
        <v>13</v>
      </c>
      <c r="E6" t="n">
        <v>-6.5</v>
      </c>
      <c r="F6" t="n">
        <v>-113</v>
      </c>
      <c r="G6">
        <f>IFERROR(E6*(F6/-105),"")</f>
        <v/>
      </c>
      <c r="H6">
        <f>IFERROR((C6-D6)+E6,"")</f>
        <v/>
      </c>
      <c r="I6" t="n">
        <v>50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S6" t="n">
        <v>-240</v>
      </c>
      <c r="T6">
        <f>IFERROR(IF(S6&gt;0,100/(100+S6),ABS(S6)/(100+ABS(S6))),"")</f>
        <v/>
      </c>
    </row>
    <row r="7">
      <c r="A7" t="n">
        <v>5</v>
      </c>
      <c r="B7" t="inlineStr">
        <is>
          <t>Colorado</t>
        </is>
      </c>
      <c r="C7" t="n">
        <v>24</v>
      </c>
      <c r="D7" t="n">
        <v>21</v>
      </c>
      <c r="E7" t="n">
        <v>-6.5</v>
      </c>
      <c r="F7" t="n">
        <v>-116</v>
      </c>
      <c r="G7">
        <f>IFERROR(E7*(F7/-105),"")</f>
        <v/>
      </c>
      <c r="H7">
        <f>IFERROR((C7-D7)+E7,"")</f>
        <v/>
      </c>
      <c r="I7" t="n">
        <v>48.5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S7" t="n">
        <v>-248</v>
      </c>
      <c r="T7">
        <f>IFERROR(IF(S7&gt;0,100/(100+S7),ABS(S7)/(100+ABS(S7))),"")</f>
        <v/>
      </c>
    </row>
    <row r="8">
      <c r="A8" t="n">
        <v>6</v>
      </c>
      <c r="B8" t="inlineStr">
        <is>
          <t>West Virginia</t>
        </is>
      </c>
      <c r="C8" t="n">
        <v>38</v>
      </c>
      <c r="D8" t="n">
        <v>24</v>
      </c>
      <c r="E8" t="n">
        <v>-20</v>
      </c>
      <c r="F8" t="n">
        <v>-110</v>
      </c>
      <c r="G8">
        <f>IFERROR(E8*(F8/-105),"")</f>
        <v/>
      </c>
      <c r="H8">
        <f>IFERROR((C8-D8)+E8,"")</f>
        <v/>
      </c>
      <c r="I8" t="n">
        <v>46.5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S8" t="n">
        <v>-1431</v>
      </c>
      <c r="T8">
        <f>IFERROR(IF(S8&gt;0,100/(100+S8),ABS(S8)/(100+ABS(S8))),"")</f>
        <v/>
      </c>
    </row>
    <row r="9">
      <c r="A9" t="n">
        <v>7</v>
      </c>
      <c r="B9" t="inlineStr">
        <is>
          <t>Arizona</t>
        </is>
      </c>
      <c r="C9" t="n">
        <v>33</v>
      </c>
      <c r="D9" t="n">
        <v>27</v>
      </c>
      <c r="E9" t="n">
        <v>-2.5</v>
      </c>
      <c r="F9" t="n">
        <v>-116</v>
      </c>
      <c r="G9">
        <f>IFERROR(E9*(F9/-105),"")</f>
        <v/>
      </c>
      <c r="H9">
        <f>IFERROR((C9-D9)+E9,"")</f>
        <v/>
      </c>
      <c r="I9" t="n">
        <v>46.5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S9" t="n">
        <v>-140</v>
      </c>
      <c r="T9">
        <f>IFERROR(IF(S9&gt;0,100/(100+S9),ABS(S9)/(100+ABS(S9))),"")</f>
        <v/>
      </c>
    </row>
    <row r="10">
      <c r="A10" t="n">
        <v>8</v>
      </c>
      <c r="B10" t="inlineStr">
        <is>
          <t>Utah</t>
        </is>
      </c>
      <c r="C10" t="n">
        <v>24</v>
      </c>
      <c r="D10" t="n">
        <v>21</v>
      </c>
      <c r="E10" t="n">
        <v>4.5</v>
      </c>
      <c r="F10" t="n">
        <v>-111</v>
      </c>
      <c r="G10">
        <f>IFERROR(E10*(F10/-105),"")</f>
        <v/>
      </c>
      <c r="H10">
        <f>IFERROR((C10-D10)+E10,"")</f>
        <v/>
      </c>
      <c r="I10" t="n">
        <v>49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S10" t="n">
        <v>163</v>
      </c>
      <c r="T10">
        <f>IFERROR(IF(S10&gt;0,100/(100+S10),ABS(S10)/(100+ABS(S10))),"")</f>
        <v/>
      </c>
    </row>
    <row r="11">
      <c r="A11" t="n">
        <v>9</v>
      </c>
      <c r="B11" t="inlineStr">
        <is>
          <t>Iowa State</t>
        </is>
      </c>
      <c r="C11" t="n">
        <v>41</v>
      </c>
      <c r="D11" t="n">
        <v>27</v>
      </c>
      <c r="E11" t="n">
        <v>2.5</v>
      </c>
      <c r="F11" t="n">
        <v>-107</v>
      </c>
      <c r="G11">
        <f>IFERROR(E11*(F11/-105),"")</f>
        <v/>
      </c>
      <c r="H11">
        <f>IFERROR((C11-D11)+E11,"")</f>
        <v/>
      </c>
      <c r="I11" t="n">
        <v>48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S11" t="n">
        <v>116</v>
      </c>
      <c r="T11">
        <f>IFERROR(IF(S11&gt;0,100/(100+S11),ABS(S11)/(100+ABS(S11))),"")</f>
        <v/>
      </c>
    </row>
    <row r="12">
      <c r="A12" t="n">
        <v>11</v>
      </c>
      <c r="B12" t="inlineStr">
        <is>
          <t>Texas Tech</t>
        </is>
      </c>
      <c r="C12" t="n">
        <v>7</v>
      </c>
      <c r="D12" t="n">
        <v>29</v>
      </c>
      <c r="E12" t="n">
        <v>13.5</v>
      </c>
      <c r="F12" t="n">
        <v>-110</v>
      </c>
      <c r="G12">
        <f>IFERROR(E12*(F12/-105),"")</f>
        <v/>
      </c>
      <c r="H12">
        <f>IFERROR((C12-D12)+E12,"")</f>
        <v/>
      </c>
      <c r="I12" t="n">
        <v>50.5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358</v>
      </c>
      <c r="T12">
        <f>IFERROR(IF(S12&gt;0,100/(100+S12),ABS(S12)/(100+ABS(S12))),"")</f>
        <v/>
      </c>
    </row>
    <row r="13">
      <c r="A13" t="n">
        <v>12</v>
      </c>
      <c r="B13" t="inlineStr">
        <is>
          <t>TCU</t>
        </is>
      </c>
      <c r="C13" t="n">
        <v>44</v>
      </c>
      <c r="D13" t="n">
        <v>13</v>
      </c>
      <c r="E13" t="n">
        <v>-3</v>
      </c>
      <c r="F13" t="n">
        <v>-110</v>
      </c>
      <c r="G13">
        <f>IFERROR(E13*(F13/-105),"")</f>
        <v/>
      </c>
      <c r="H13">
        <f>IFERROR((C13-D13)+E13,"")</f>
        <v/>
      </c>
      <c r="I13" t="n">
        <v>52.5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S13" t="n">
        <v>-150</v>
      </c>
      <c r="T13">
        <f>IFERROR(IF(S13&gt;0,100/(100+S13),ABS(S13)/(100+ABS(S13))),"")</f>
        <v/>
      </c>
    </row>
    <row r="14">
      <c r="A14" t="n">
        <v>13</v>
      </c>
      <c r="B14" t="inlineStr">
        <is>
          <t>Cincinnati</t>
        </is>
      </c>
      <c r="C14" t="n">
        <v>26</v>
      </c>
      <c r="D14" t="n">
        <v>14</v>
      </c>
      <c r="E14" t="n">
        <v>-2.5</v>
      </c>
      <c r="F14" t="n">
        <v>-115</v>
      </c>
      <c r="G14">
        <f>IFERROR(E14*(F14/-105),"")</f>
        <v/>
      </c>
      <c r="H14">
        <f>IFERROR((C14-D14)+E14,"")</f>
        <v/>
      </c>
      <c r="I14" t="n">
        <v>56.5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S14" t="n">
        <v>-145</v>
      </c>
      <c r="T14">
        <f>IFERROR(IF(S14&gt;0,100/(100+S14),ABS(S14)/(100+ABS(S14))),"")</f>
        <v/>
      </c>
    </row>
    <row r="15">
      <c r="A15" t="n">
        <v>14</v>
      </c>
      <c r="B15" t="inlineStr">
        <is>
          <t>UCF</t>
        </is>
      </c>
      <c r="C15" t="n">
        <v>41</v>
      </c>
      <c r="D15" t="n">
        <v>21</v>
      </c>
      <c r="E15" t="n">
        <v>-17.5</v>
      </c>
      <c r="F15" t="n">
        <v>-112</v>
      </c>
      <c r="G15">
        <f>IFERROR(E15*(F15/-105),"")</f>
        <v/>
      </c>
      <c r="H15">
        <f>IFERROR((C15-D15)+E15,"")</f>
        <v/>
      </c>
      <c r="I15" t="n">
        <v>46.5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-1168</v>
      </c>
      <c r="T15">
        <f>IFERROR(IF(S15&gt;0,100/(100+S15),ABS(S15)/(100+ABS(S15))),"")</f>
        <v/>
      </c>
    </row>
    <row r="16">
      <c r="A16" t="n">
        <v>15</v>
      </c>
      <c r="B16" t="inlineStr">
        <is>
          <t>Texas Tech</t>
        </is>
      </c>
      <c r="C16" t="n">
        <v>7</v>
      </c>
      <c r="D16" t="n">
        <v>34</v>
      </c>
      <c r="E16" t="n">
        <v>13</v>
      </c>
      <c r="F16" t="n">
        <v>-110</v>
      </c>
      <c r="G16">
        <f>IFERROR(E16*(F16/-105),"")</f>
        <v/>
      </c>
      <c r="H16">
        <f>IFERROR((C16-D16)+E16,"")</f>
        <v/>
      </c>
      <c r="I16" t="n">
        <v>50.5</v>
      </c>
      <c r="J16">
        <f>IFERROR(I16/2-E16/2,"")</f>
        <v/>
      </c>
      <c r="K16">
        <f>IFERROR(C16-J16,"")</f>
        <v/>
      </c>
      <c r="L16">
        <f>IFERROR(I16/2+E16/2,"")</f>
        <v/>
      </c>
      <c r="M16">
        <f>IFERROR(D16-L16,"")</f>
        <v/>
      </c>
      <c r="N16">
        <f>IFERROR((C16-D16)+G16,"")</f>
        <v/>
      </c>
      <c r="O16">
        <f>IFERROR(I16/2-G16/2,"")</f>
        <v/>
      </c>
      <c r="P16">
        <f>IFERROR(C16-O16,"")</f>
        <v/>
      </c>
      <c r="Q16">
        <f>IFERROR(I16/2+G16/2,"")</f>
        <v/>
      </c>
      <c r="R16">
        <f>IFERROR(D16-Q16,"")</f>
        <v/>
      </c>
      <c r="S16" t="n">
        <v>403</v>
      </c>
      <c r="T16">
        <f>IFERROR(IF(S16&gt;0,100/(100+S16),ABS(S16)/(100+ABS(S16))),"")</f>
        <v/>
      </c>
    </row>
    <row r="18">
      <c r="A18" s="3" t="inlineStr">
        <is>
          <t>Net</t>
        </is>
      </c>
      <c r="C18">
        <f>SUM(C4:C16)</f>
        <v/>
      </c>
      <c r="D18">
        <f>SUM(D4:D16)</f>
        <v/>
      </c>
      <c r="E18">
        <f>SUM(E4:E16)</f>
        <v/>
      </c>
      <c r="F18">
        <f>SUM(F4:F16)</f>
        <v/>
      </c>
      <c r="G18">
        <f>SUM(G4:G16)</f>
        <v/>
      </c>
      <c r="H18">
        <f>SUM(H4:H16)</f>
        <v/>
      </c>
      <c r="I18">
        <f>SUM(I4:I16)</f>
        <v/>
      </c>
      <c r="J18">
        <f>SUM(J4:J16)</f>
        <v/>
      </c>
      <c r="K18">
        <f>SUM(K4:K16)</f>
        <v/>
      </c>
      <c r="L18">
        <f>SUM(L4:L16)</f>
        <v/>
      </c>
      <c r="M18">
        <f>SUM(M4:M16)</f>
        <v/>
      </c>
      <c r="N18">
        <f>SUM(N4:N16)</f>
        <v/>
      </c>
      <c r="O18">
        <f>SUM(O4:O16)</f>
        <v/>
      </c>
      <c r="P18">
        <f>SUM(P4:P16)</f>
        <v/>
      </c>
      <c r="Q18">
        <f>SUM(Q4:Q16)</f>
        <v/>
      </c>
      <c r="R18">
        <f>SUM(R4:R16)</f>
        <v/>
      </c>
      <c r="S18">
        <f>SUM(S4:S16)</f>
        <v/>
      </c>
      <c r="T18">
        <f>SUM(T4:T16)</f>
        <v/>
      </c>
    </row>
    <row r="19">
      <c r="A19" s="3" t="inlineStr">
        <is>
          <t>Average</t>
        </is>
      </c>
      <c r="C19">
        <f>IFERROR(AVERAGE(C4:C16),"")</f>
        <v/>
      </c>
      <c r="D19">
        <f>IFERROR(AVERAGE(D4:D16),"")</f>
        <v/>
      </c>
      <c r="E19">
        <f>IFERROR(AVERAGE(E4:E16),"")</f>
        <v/>
      </c>
      <c r="F19">
        <f>IFERROR(AVERAGE(F4:F16),"")</f>
        <v/>
      </c>
      <c r="G19">
        <f>IFERROR(AVERAGE(G4:G16),"")</f>
        <v/>
      </c>
      <c r="H19">
        <f>IFERROR(AVERAGE(H4:H16),"")</f>
        <v/>
      </c>
      <c r="I19">
        <f>IFERROR(AVERAGE(I4:I16),"")</f>
        <v/>
      </c>
      <c r="J19">
        <f>IFERROR(AVERAGE(J4:J16),"")</f>
        <v/>
      </c>
      <c r="K19">
        <f>IFERROR(AVERAGE(K4:K16),"")</f>
        <v/>
      </c>
      <c r="L19">
        <f>IFERROR(AVERAGE(L4:L16),"")</f>
        <v/>
      </c>
      <c r="M19">
        <f>IFERROR(AVERAGE(M4:M16),"")</f>
        <v/>
      </c>
      <c r="N19">
        <f>IFERROR(AVERAGE(N4:N16),"")</f>
        <v/>
      </c>
      <c r="O19">
        <f>IFERROR(AVERAGE(O4:O16),"")</f>
        <v/>
      </c>
      <c r="P19">
        <f>IFERROR(AVERAGE(P4:P16),"")</f>
        <v/>
      </c>
      <c r="Q19">
        <f>IFERROR(AVERAGE(Q4:Q16),"")</f>
        <v/>
      </c>
      <c r="R19">
        <f>IFERROR(AVERAGE(R4:R16),"")</f>
        <v/>
      </c>
      <c r="S19">
        <f>IFERROR(AVERAGE(S4:S16),"")</f>
        <v/>
      </c>
      <c r="T19">
        <f>IFERROR(AVERAGE(T4:T16),"")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13</t>
        </is>
      </c>
      <c r="B1" s="1" t="inlineStr">
        <is>
          <t>Final Ranking Coaches Poll:</t>
        </is>
      </c>
      <c r="C1" s="1" t="inlineStr">
        <is>
          <t>Playoffs: No</t>
        </is>
      </c>
      <c r="D1" s="1" t="inlineStr">
        <is>
          <t>Conference: SEC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>
        <is>
          <t>Charleston Southern</t>
        </is>
      </c>
      <c r="C4" t="n">
        <v>45</v>
      </c>
      <c r="D4" t="n">
        <v>3</v>
      </c>
      <c r="E4" t="n">
        <v>-38</v>
      </c>
      <c r="F4" t="n">
        <v>-110</v>
      </c>
      <c r="G4">
        <f>IFERROR(E4*(F4/-105),"")</f>
        <v/>
      </c>
      <c r="H4">
        <f>IFERROR((C4-D4)+E4,"")</f>
        <v/>
      </c>
      <c r="I4" t="n">
        <v>49.5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T4">
        <f>IFERROR(IF(S4&gt;0,100/(100+S4),ABS(S4)/(100+ABS(S4))),"")</f>
        <v/>
      </c>
    </row>
    <row r="5">
      <c r="A5" t="n">
        <v>2</v>
      </c>
      <c r="B5" t="inlineStr">
        <is>
          <t>Virginia Tech</t>
        </is>
      </c>
      <c r="C5" t="n">
        <v>44</v>
      </c>
      <c r="D5" t="n">
        <v>20</v>
      </c>
      <c r="E5" t="n">
        <v>2</v>
      </c>
      <c r="F5" t="n">
        <v>-110</v>
      </c>
      <c r="G5">
        <f>IFERROR(E5*(F5/-105),"")</f>
        <v/>
      </c>
      <c r="H5">
        <f>IFERROR((C5-D5)+E5,"")</f>
        <v/>
      </c>
      <c r="I5" t="n">
        <v>45.5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S5" t="n">
        <v>108</v>
      </c>
      <c r="T5">
        <f>IFERROR(IF(S5&gt;0,100/(100+S5),ABS(S5)/(100+ABS(S5))),"")</f>
        <v/>
      </c>
    </row>
    <row r="6">
      <c r="A6" t="n">
        <v>3</v>
      </c>
      <c r="B6" t="inlineStr">
        <is>
          <t>South Carolina</t>
        </is>
      </c>
      <c r="C6" t="n">
        <v>31</v>
      </c>
      <c r="D6" t="n">
        <v>7</v>
      </c>
      <c r="E6" t="n">
        <v>3</v>
      </c>
      <c r="F6" t="n">
        <v>-107</v>
      </c>
      <c r="G6">
        <f>IFERROR(E6*(F6/-105),"")</f>
        <v/>
      </c>
      <c r="H6">
        <f>IFERROR((C6-D6)+E6,"")</f>
        <v/>
      </c>
      <c r="I6" t="n">
        <v>48.5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S6" t="n">
        <v>130</v>
      </c>
      <c r="T6">
        <f>IFERROR(IF(S6&gt;0,100/(100+S6),ABS(S6)/(100+ABS(S6))),"")</f>
        <v/>
      </c>
    </row>
    <row r="7">
      <c r="A7" t="n">
        <v>4</v>
      </c>
      <c r="B7" t="inlineStr">
        <is>
          <t>Georgia State</t>
        </is>
      </c>
      <c r="C7" t="n">
        <v>70</v>
      </c>
      <c r="D7" t="n">
        <v>21</v>
      </c>
      <c r="E7" t="n">
        <v>-28.5</v>
      </c>
      <c r="F7" t="n">
        <v>-108</v>
      </c>
      <c r="G7">
        <f>IFERROR(E7*(F7/-105),"")</f>
        <v/>
      </c>
      <c r="H7">
        <f>IFERROR((C7-D7)+E7,"")</f>
        <v/>
      </c>
      <c r="I7" t="n">
        <v>53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S7" t="n">
        <v>-4742</v>
      </c>
      <c r="T7">
        <f>IFERROR(IF(S7&gt;0,100/(100+S7),ABS(S7)/(100+ABS(S7))),"")</f>
        <v/>
      </c>
    </row>
    <row r="8">
      <c r="A8" t="n">
        <v>5</v>
      </c>
      <c r="B8" t="inlineStr">
        <is>
          <t>Utah State</t>
        </is>
      </c>
      <c r="C8" t="n">
        <v>55</v>
      </c>
      <c r="D8" t="n">
        <v>35</v>
      </c>
      <c r="E8" t="n">
        <v>-23.5</v>
      </c>
      <c r="F8" t="n">
        <v>-111</v>
      </c>
      <c r="G8">
        <f>IFERROR(E8*(F8/-105),"")</f>
        <v/>
      </c>
      <c r="H8">
        <f>IFERROR((C8-D8)+E8,"")</f>
        <v/>
      </c>
      <c r="I8" t="n">
        <v>58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S8" t="n">
        <v>-2263</v>
      </c>
      <c r="T8">
        <f>IFERROR(IF(S8&gt;0,100/(100+S8),ABS(S8)/(100+ABS(S8))),"")</f>
        <v/>
      </c>
    </row>
    <row r="9">
      <c r="A9" t="n">
        <v>6</v>
      </c>
      <c r="B9" t="inlineStr">
        <is>
          <t>Alabama</t>
        </is>
      </c>
      <c r="C9" t="n">
        <v>14</v>
      </c>
      <c r="D9" t="n">
        <v>30</v>
      </c>
      <c r="E9" t="n">
        <v>12.5</v>
      </c>
      <c r="F9" t="n">
        <v>-109</v>
      </c>
      <c r="G9">
        <f>IFERROR(E9*(F9/-105),"")</f>
        <v/>
      </c>
      <c r="H9">
        <f>IFERROR((C9-D9)+E9,"")</f>
        <v/>
      </c>
      <c r="I9" t="n">
        <v>57.5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S9" t="n">
        <v>368</v>
      </c>
      <c r="T9">
        <f>IFERROR(IF(S9&gt;0,100/(100+S9),ABS(S9)/(100+ABS(S9))),"")</f>
        <v/>
      </c>
    </row>
    <row r="10">
      <c r="A10" t="n">
        <v>8</v>
      </c>
      <c r="B10" t="inlineStr">
        <is>
          <t>LSU</t>
        </is>
      </c>
      <c r="C10" t="n">
        <v>31</v>
      </c>
      <c r="D10" t="n">
        <v>24</v>
      </c>
      <c r="E10" t="n">
        <v>-1.5</v>
      </c>
      <c r="F10" t="n">
        <v>-110</v>
      </c>
      <c r="G10">
        <f>IFERROR(E10*(F10/-105),"")</f>
        <v/>
      </c>
      <c r="H10">
        <f>IFERROR((C10-D10)+E10,"")</f>
        <v/>
      </c>
      <c r="I10" t="n">
        <v>48.5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S10" t="n">
        <v>-121</v>
      </c>
      <c r="T10">
        <f>IFERROR(IF(S10&gt;0,100/(100+S10),ABS(S10)/(100+ABS(S10))),"")</f>
        <v/>
      </c>
    </row>
    <row r="11">
      <c r="A11" t="n">
        <v>9</v>
      </c>
      <c r="B11" t="inlineStr">
        <is>
          <t>Missouri</t>
        </is>
      </c>
      <c r="C11" t="n">
        <v>17</v>
      </c>
      <c r="D11" t="n">
        <v>10</v>
      </c>
      <c r="E11" t="n">
        <v>-3</v>
      </c>
      <c r="F11" t="n">
        <v>-115</v>
      </c>
      <c r="G11">
        <f>IFERROR(E11*(F11/-105),"")</f>
        <v/>
      </c>
      <c r="H11">
        <f>IFERROR((C11-D11)+E11,"")</f>
        <v/>
      </c>
      <c r="I11" t="n">
        <v>52.5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S11" t="n">
        <v>-155</v>
      </c>
      <c r="T11">
        <f>IFERROR(IF(S11&gt;0,100/(100+S11),ABS(S11)/(100+ABS(S11))),"")</f>
        <v/>
      </c>
    </row>
    <row r="12">
      <c r="A12" t="n">
        <v>10</v>
      </c>
      <c r="B12" t="inlineStr">
        <is>
          <t>Texas</t>
        </is>
      </c>
      <c r="C12" t="n">
        <v>31</v>
      </c>
      <c r="D12" t="n">
        <v>34</v>
      </c>
      <c r="E12" t="n">
        <v>3.5</v>
      </c>
      <c r="F12" t="n">
        <v>-116</v>
      </c>
      <c r="G12">
        <f>IFERROR(E12*(F12/-105),"")</f>
        <v/>
      </c>
      <c r="H12">
        <f>IFERROR((C12-D12)+E12,"")</f>
        <v/>
      </c>
      <c r="I12" t="n">
        <v>47.5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145</v>
      </c>
      <c r="T12">
        <f>IFERROR(IF(S12&gt;0,100/(100+S12),ABS(S12)/(100+ABS(S12))),"")</f>
        <v/>
      </c>
    </row>
    <row r="13">
      <c r="A13" t="n">
        <v>11</v>
      </c>
      <c r="B13" t="inlineStr">
        <is>
          <t>Auburn</t>
        </is>
      </c>
      <c r="C13" t="n">
        <v>45</v>
      </c>
      <c r="D13" t="n">
        <v>38</v>
      </c>
      <c r="E13" t="n">
        <v>-6</v>
      </c>
      <c r="F13" t="n">
        <v>-113</v>
      </c>
      <c r="G13">
        <f>IFERROR(E13*(F13/-105),"")</f>
        <v/>
      </c>
      <c r="H13">
        <f>IFERROR((C13-D13)+E13,"")</f>
        <v/>
      </c>
      <c r="I13" t="n">
        <v>46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S13" t="n">
        <v>-228</v>
      </c>
      <c r="T13">
        <f>IFERROR(IF(S13&gt;0,100/(100+S13),ABS(S13)/(100+ABS(S13))),"")</f>
        <v/>
      </c>
    </row>
    <row r="14">
      <c r="A14" t="n">
        <v>13</v>
      </c>
      <c r="B14" t="inlineStr">
        <is>
          <t>Kentucky</t>
        </is>
      </c>
      <c r="C14" t="n">
        <v>45</v>
      </c>
      <c r="D14" t="n">
        <v>17</v>
      </c>
      <c r="E14" t="n">
        <v>-7</v>
      </c>
      <c r="F14" t="n">
        <v>-111</v>
      </c>
      <c r="G14">
        <f>IFERROR(E14*(F14/-105),"")</f>
        <v/>
      </c>
      <c r="H14">
        <f>IFERROR((C14-D14)+E14,"")</f>
        <v/>
      </c>
      <c r="I14" t="n">
        <v>53.5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S14" t="n">
        <v>-290</v>
      </c>
      <c r="T14">
        <f>IFERROR(IF(S14&gt;0,100/(100+S14),ABS(S14)/(100+ABS(S14))),"")</f>
        <v/>
      </c>
    </row>
    <row r="15">
      <c r="A15" t="n">
        <v>14</v>
      </c>
      <c r="B15" t="inlineStr">
        <is>
          <t>Tennessee</t>
        </is>
      </c>
      <c r="C15" t="n">
        <v>45</v>
      </c>
      <c r="D15" t="n">
        <v>24</v>
      </c>
      <c r="E15" t="n">
        <v>2.5</v>
      </c>
      <c r="F15" t="n">
        <v>-112</v>
      </c>
      <c r="G15">
        <f>IFERROR(E15*(F15/-105),"")</f>
        <v/>
      </c>
      <c r="H15">
        <f>IFERROR((C15-D15)+E15,"")</f>
        <v/>
      </c>
      <c r="I15" t="n">
        <v>66.5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109</v>
      </c>
      <c r="T15">
        <f>IFERROR(IF(S15&gt;0,100/(100+S15),ABS(S15)/(100+ABS(S15))),"")</f>
        <v/>
      </c>
    </row>
    <row r="17">
      <c r="A17" s="3" t="inlineStr">
        <is>
          <t>Net</t>
        </is>
      </c>
      <c r="C17">
        <f>SUM(C4:C15)</f>
        <v/>
      </c>
      <c r="D17">
        <f>SUM(D4:D15)</f>
        <v/>
      </c>
      <c r="E17">
        <f>SUM(E4:E15)</f>
        <v/>
      </c>
      <c r="F17">
        <f>SUM(F4:F15)</f>
        <v/>
      </c>
      <c r="G17">
        <f>SUM(G4:G15)</f>
        <v/>
      </c>
      <c r="H17">
        <f>SUM(H4:H15)</f>
        <v/>
      </c>
      <c r="I17">
        <f>SUM(I4:I15)</f>
        <v/>
      </c>
      <c r="J17">
        <f>SUM(J4:J15)</f>
        <v/>
      </c>
      <c r="K17">
        <f>SUM(K4:K15)</f>
        <v/>
      </c>
      <c r="L17">
        <f>SUM(L4:L15)</f>
        <v/>
      </c>
      <c r="M17">
        <f>SUM(M4:M15)</f>
        <v/>
      </c>
      <c r="N17">
        <f>SUM(N4:N15)</f>
        <v/>
      </c>
      <c r="O17">
        <f>SUM(O4:O15)</f>
        <v/>
      </c>
      <c r="P17">
        <f>SUM(P4:P15)</f>
        <v/>
      </c>
      <c r="Q17">
        <f>SUM(Q4:Q15)</f>
        <v/>
      </c>
      <c r="R17">
        <f>SUM(R4:R15)</f>
        <v/>
      </c>
      <c r="S17">
        <f>SUM(S4:S15)</f>
        <v/>
      </c>
      <c r="T17">
        <f>SUM(T4:T15)</f>
        <v/>
      </c>
    </row>
    <row r="18">
      <c r="A18" s="3" t="inlineStr">
        <is>
          <t>Average</t>
        </is>
      </c>
      <c r="C18">
        <f>IFERROR(AVERAGE(C4:C15),"")</f>
        <v/>
      </c>
      <c r="D18">
        <f>IFERROR(AVERAGE(D4:D15),"")</f>
        <v/>
      </c>
      <c r="E18">
        <f>IFERROR(AVERAGE(E4:E15),"")</f>
        <v/>
      </c>
      <c r="F18">
        <f>IFERROR(AVERAGE(F4:F15),"")</f>
        <v/>
      </c>
      <c r="G18">
        <f>IFERROR(AVERAGE(G4:G15),"")</f>
        <v/>
      </c>
      <c r="H18">
        <f>IFERROR(AVERAGE(H4:H15),"")</f>
        <v/>
      </c>
      <c r="I18">
        <f>IFERROR(AVERAGE(I4:I15),"")</f>
        <v/>
      </c>
      <c r="J18">
        <f>IFERROR(AVERAGE(J4:J15),"")</f>
        <v/>
      </c>
      <c r="K18">
        <f>IFERROR(AVERAGE(K4:K15),"")</f>
        <v/>
      </c>
      <c r="L18">
        <f>IFERROR(AVERAGE(L4:L15),"")</f>
        <v/>
      </c>
      <c r="M18">
        <f>IFERROR(AVERAGE(M4:M15),"")</f>
        <v/>
      </c>
      <c r="N18">
        <f>IFERROR(AVERAGE(N4:N15),"")</f>
        <v/>
      </c>
      <c r="O18">
        <f>IFERROR(AVERAGE(O4:O15),"")</f>
        <v/>
      </c>
      <c r="P18">
        <f>IFERROR(AVERAGE(P4:P15),"")</f>
        <v/>
      </c>
      <c r="Q18">
        <f>IFERROR(AVERAGE(Q4:Q15),"")</f>
        <v/>
      </c>
      <c r="R18">
        <f>IFERROR(AVERAGE(R4:R15),"")</f>
        <v/>
      </c>
      <c r="S18">
        <f>IFERROR(AVERAGE(S4:S15),"")</f>
        <v/>
      </c>
      <c r="T18">
        <f>IFERROR(AVERAGE(T4:T15),"")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14</t>
        </is>
      </c>
      <c r="B1" s="1" t="inlineStr">
        <is>
          <t>Final Ranking Coaches Poll:</t>
        </is>
      </c>
      <c r="C1" s="1" t="inlineStr">
        <is>
          <t>Playoffs: No</t>
        </is>
      </c>
      <c r="D1" s="1" t="inlineStr">
        <is>
          <t>Conference: SEC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>
        <is>
          <t>Ohio State</t>
        </is>
      </c>
      <c r="C4" t="n">
        <v>7</v>
      </c>
      <c r="D4" t="n">
        <v>14</v>
      </c>
      <c r="E4" t="n">
        <v>1.5</v>
      </c>
      <c r="F4" t="n">
        <v>-113</v>
      </c>
      <c r="G4">
        <f>IFERROR(E4*(F4/-105),"")</f>
        <v/>
      </c>
      <c r="H4">
        <f>IFERROR((C4-D4)+E4,"")</f>
        <v/>
      </c>
      <c r="I4" t="n">
        <v>46.5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S4" t="n">
        <v>-104</v>
      </c>
      <c r="T4">
        <f>IFERROR(IF(S4&gt;0,100/(100+S4),ABS(S4)/(100+ABS(S4))),"")</f>
        <v/>
      </c>
    </row>
    <row r="5">
      <c r="A5" t="n">
        <v>2</v>
      </c>
      <c r="B5" t="inlineStr">
        <is>
          <t>San Jose State</t>
        </is>
      </c>
      <c r="C5" t="n">
        <v>38</v>
      </c>
      <c r="D5" t="n">
        <v>7</v>
      </c>
      <c r="E5" t="n">
        <v>-37.5</v>
      </c>
      <c r="F5" t="n">
        <v>-113</v>
      </c>
      <c r="G5">
        <f>IFERROR(E5*(F5/-105),"")</f>
        <v/>
      </c>
      <c r="H5">
        <f>IFERROR((C5-D5)+E5,"")</f>
        <v/>
      </c>
      <c r="I5" t="n">
        <v>52.5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T5">
        <f>IFERROR(IF(S5&gt;0,100/(100+S5),ABS(S5)/(100+ABS(S5))),"")</f>
        <v/>
      </c>
    </row>
    <row r="6">
      <c r="A6" t="n">
        <v>3</v>
      </c>
      <c r="B6" t="inlineStr">
        <is>
          <t>UTEP</t>
        </is>
      </c>
      <c r="C6" t="n">
        <v>27</v>
      </c>
      <c r="D6" t="n">
        <v>10</v>
      </c>
      <c r="E6" t="n">
        <v>-39.5</v>
      </c>
      <c r="F6" t="n">
        <v>-110</v>
      </c>
      <c r="G6">
        <f>IFERROR(E6*(F6/-105),"")</f>
        <v/>
      </c>
      <c r="H6">
        <f>IFERROR((C6-D6)+E6,"")</f>
        <v/>
      </c>
      <c r="I6" t="n">
        <v>52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T6">
        <f>IFERROR(IF(S6&gt;0,100/(100+S6),ABS(S6)/(100+ABS(S6))),"")</f>
        <v/>
      </c>
    </row>
    <row r="7">
      <c r="A7" t="n">
        <v>4</v>
      </c>
      <c r="B7" t="inlineStr">
        <is>
          <t>Sam Houston</t>
        </is>
      </c>
      <c r="C7" t="n">
        <v>55</v>
      </c>
      <c r="D7" t="n">
        <v>0</v>
      </c>
      <c r="E7" t="n">
        <v>-39.5</v>
      </c>
      <c r="F7" t="n">
        <v>-110</v>
      </c>
      <c r="G7">
        <f>IFERROR(E7*(F7/-105),"")</f>
        <v/>
      </c>
      <c r="H7">
        <f>IFERROR((C7-D7)+E7,"")</f>
        <v/>
      </c>
      <c r="I7" t="n">
        <v>51.5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T7">
        <f>IFERROR(IF(S7&gt;0,100/(100+S7),ABS(S7)/(100+ABS(S7))),"")</f>
        <v/>
      </c>
    </row>
    <row r="8">
      <c r="A8" t="n">
        <v>6</v>
      </c>
      <c r="B8" t="inlineStr">
        <is>
          <t>Florida</t>
        </is>
      </c>
      <c r="C8" t="n">
        <v>21</v>
      </c>
      <c r="D8" t="n">
        <v>29</v>
      </c>
      <c r="E8" t="n">
        <v>-4.5</v>
      </c>
      <c r="F8" t="n">
        <v>-112</v>
      </c>
      <c r="G8">
        <f>IFERROR(E8*(F8/-105),"")</f>
        <v/>
      </c>
      <c r="H8">
        <f>IFERROR((C8-D8)+E8,"")</f>
        <v/>
      </c>
      <c r="I8" t="n">
        <v>42.5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S8" t="n">
        <v>-208</v>
      </c>
      <c r="T8">
        <f>IFERROR(IF(S8&gt;0,100/(100+S8),ABS(S8)/(100+ABS(S8))),"")</f>
        <v/>
      </c>
    </row>
    <row r="9">
      <c r="A9" t="n">
        <v>7</v>
      </c>
      <c r="B9" t="inlineStr">
        <is>
          <t>Oklahoma</t>
        </is>
      </c>
      <c r="C9" t="n">
        <v>23</v>
      </c>
      <c r="D9" t="n">
        <v>6</v>
      </c>
      <c r="E9" t="n">
        <v>-2.5</v>
      </c>
      <c r="F9" t="n">
        <v>-117</v>
      </c>
      <c r="G9">
        <f>IFERROR(E9*(F9/-105),"")</f>
        <v/>
      </c>
      <c r="H9">
        <f>IFERROR((C9-D9)+E9,"")</f>
        <v/>
      </c>
      <c r="I9" t="n">
        <v>44.5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S9" t="n">
        <v>-146</v>
      </c>
      <c r="T9">
        <f>IFERROR(IF(S9&gt;0,100/(100+S9),ABS(S9)/(100+ABS(S9))),"")</f>
        <v/>
      </c>
    </row>
    <row r="10">
      <c r="A10" t="n">
        <v>8</v>
      </c>
      <c r="B10" t="inlineStr">
        <is>
          <t>Kentucky</t>
        </is>
      </c>
      <c r="C10" t="n">
        <v>16</v>
      </c>
      <c r="D10" t="n">
        <v>13</v>
      </c>
      <c r="E10" t="n">
        <v>-12.5</v>
      </c>
      <c r="F10" t="n">
        <v>-110</v>
      </c>
      <c r="G10">
        <f>IFERROR(E10*(F10/-105),"")</f>
        <v/>
      </c>
      <c r="H10">
        <f>IFERROR((C10-D10)+E10,"")</f>
        <v/>
      </c>
      <c r="I10" t="n">
        <v>45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S10" t="n">
        <v>-487</v>
      </c>
      <c r="T10">
        <f>IFERROR(IF(S10&gt;0,100/(100+S10),ABS(S10)/(100+ABS(S10))),"")</f>
        <v/>
      </c>
    </row>
    <row r="11">
      <c r="A11" t="n">
        <v>9</v>
      </c>
      <c r="B11" t="inlineStr">
        <is>
          <t>Mississippi State</t>
        </is>
      </c>
      <c r="C11" t="n">
        <v>45</v>
      </c>
      <c r="D11" t="n">
        <v>38</v>
      </c>
      <c r="E11" t="n">
        <v>-8.5</v>
      </c>
      <c r="F11" t="n">
        <v>-107</v>
      </c>
      <c r="G11">
        <f>IFERROR(E11*(F11/-105),"")</f>
        <v/>
      </c>
      <c r="H11">
        <f>IFERROR((C11-D11)+E11,"")</f>
        <v/>
      </c>
      <c r="I11" t="n">
        <v>49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S11" t="n">
        <v>-314</v>
      </c>
      <c r="T11">
        <f>IFERROR(IF(S11&gt;0,100/(100+S11),ABS(S11)/(100+ABS(S11))),"")</f>
        <v/>
      </c>
    </row>
    <row r="12">
      <c r="A12" t="n">
        <v>10</v>
      </c>
      <c r="B12" t="inlineStr">
        <is>
          <t>Vanderbilt</t>
        </is>
      </c>
      <c r="C12" t="n">
        <v>34</v>
      </c>
      <c r="D12" t="n">
        <v>31</v>
      </c>
      <c r="E12" t="n">
        <v>-3.5</v>
      </c>
      <c r="F12" t="n">
        <v>-106</v>
      </c>
      <c r="G12">
        <f>IFERROR(E12*(F12/-105),"")</f>
        <v/>
      </c>
      <c r="H12">
        <f>IFERROR((C12-D12)+E12,"")</f>
        <v/>
      </c>
      <c r="I12" t="n">
        <v>47.5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-176</v>
      </c>
      <c r="T12">
        <f>IFERROR(IF(S12&gt;0,100/(100+S12),ABS(S12)/(100+ABS(S12))),"")</f>
        <v/>
      </c>
    </row>
    <row r="13">
      <c r="A13" t="n">
        <v>12</v>
      </c>
      <c r="B13" t="inlineStr">
        <is>
          <t>Georgia</t>
        </is>
      </c>
      <c r="C13" t="n">
        <v>10</v>
      </c>
      <c r="D13" t="n">
        <v>35</v>
      </c>
      <c r="E13" t="n">
        <v>4.5</v>
      </c>
      <c r="F13" t="n">
        <v>-109</v>
      </c>
      <c r="G13">
        <f>IFERROR(E13*(F13/-105),"")</f>
        <v/>
      </c>
      <c r="H13">
        <f>IFERROR((C13-D13)+E13,"")</f>
        <v/>
      </c>
      <c r="I13" t="n">
        <v>50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S13" t="n">
        <v>152</v>
      </c>
      <c r="T13">
        <f>IFERROR(IF(S13&gt;0,100/(100+S13),ABS(S13)/(100+ABS(S13))),"")</f>
        <v/>
      </c>
    </row>
    <row r="14">
      <c r="A14" t="n">
        <v>13</v>
      </c>
      <c r="B14" t="inlineStr">
        <is>
          <t>Arkansas</t>
        </is>
      </c>
      <c r="C14" t="n">
        <v>52</v>
      </c>
      <c r="D14" t="n">
        <v>37</v>
      </c>
      <c r="E14" t="n">
        <v>-8.5</v>
      </c>
      <c r="F14" t="n">
        <v>-110</v>
      </c>
      <c r="G14">
        <f>IFERROR(E14*(F14/-105),"")</f>
        <v/>
      </c>
      <c r="H14">
        <f>IFERROR((C14-D14)+E14,"")</f>
        <v/>
      </c>
      <c r="I14" t="n">
        <v>58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S14" t="n">
        <v>-340</v>
      </c>
      <c r="T14">
        <f>IFERROR(IF(S14&gt;0,100/(100+S14),ABS(S14)/(100+ABS(S14))),"")</f>
        <v/>
      </c>
    </row>
    <row r="15">
      <c r="A15" t="n">
        <v>14</v>
      </c>
      <c r="B15" t="inlineStr">
        <is>
          <t>Texas A&amp;M</t>
        </is>
      </c>
      <c r="C15" t="n">
        <v>27</v>
      </c>
      <c r="D15" t="n">
        <v>17</v>
      </c>
      <c r="E15" t="n">
        <v>2.5</v>
      </c>
      <c r="F15" t="n">
        <v>-106</v>
      </c>
      <c r="G15">
        <f>IFERROR(E15*(F15/-105),"")</f>
        <v/>
      </c>
      <c r="H15">
        <f>IFERROR((C15-D15)+E15,"")</f>
        <v/>
      </c>
      <c r="I15" t="n">
        <v>54.5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117</v>
      </c>
      <c r="T15">
        <f>IFERROR(IF(S15&gt;0,100/(100+S15),ABS(S15)/(100+ABS(S15))),"")</f>
        <v/>
      </c>
    </row>
    <row r="17">
      <c r="A17" s="3" t="inlineStr">
        <is>
          <t>Net</t>
        </is>
      </c>
      <c r="C17">
        <f>SUM(C4:C15)</f>
        <v/>
      </c>
      <c r="D17">
        <f>SUM(D4:D15)</f>
        <v/>
      </c>
      <c r="E17">
        <f>SUM(E4:E15)</f>
        <v/>
      </c>
      <c r="F17">
        <f>SUM(F4:F15)</f>
        <v/>
      </c>
      <c r="G17">
        <f>SUM(G4:G15)</f>
        <v/>
      </c>
      <c r="H17">
        <f>SUM(H4:H15)</f>
        <v/>
      </c>
      <c r="I17">
        <f>SUM(I4:I15)</f>
        <v/>
      </c>
      <c r="J17">
        <f>SUM(J4:J15)</f>
        <v/>
      </c>
      <c r="K17">
        <f>SUM(K4:K15)</f>
        <v/>
      </c>
      <c r="L17">
        <f>SUM(L4:L15)</f>
        <v/>
      </c>
      <c r="M17">
        <f>SUM(M4:M15)</f>
        <v/>
      </c>
      <c r="N17">
        <f>SUM(N4:N15)</f>
        <v/>
      </c>
      <c r="O17">
        <f>SUM(O4:O15)</f>
        <v/>
      </c>
      <c r="P17">
        <f>SUM(P4:P15)</f>
        <v/>
      </c>
      <c r="Q17">
        <f>SUM(Q4:Q15)</f>
        <v/>
      </c>
      <c r="R17">
        <f>SUM(R4:R15)</f>
        <v/>
      </c>
      <c r="S17">
        <f>SUM(S4:S15)</f>
        <v/>
      </c>
      <c r="T17">
        <f>SUM(T4:T15)</f>
        <v/>
      </c>
    </row>
    <row r="18">
      <c r="A18" s="3" t="inlineStr">
        <is>
          <t>Average</t>
        </is>
      </c>
      <c r="C18">
        <f>IFERROR(AVERAGE(C4:C15),"")</f>
        <v/>
      </c>
      <c r="D18">
        <f>IFERROR(AVERAGE(D4:D15),"")</f>
        <v/>
      </c>
      <c r="E18">
        <f>IFERROR(AVERAGE(E4:E15),"")</f>
        <v/>
      </c>
      <c r="F18">
        <f>IFERROR(AVERAGE(F4:F15),"")</f>
        <v/>
      </c>
      <c r="G18">
        <f>IFERROR(AVERAGE(G4:G15),"")</f>
        <v/>
      </c>
      <c r="H18">
        <f>IFERROR(AVERAGE(H4:H15),"")</f>
        <v/>
      </c>
      <c r="I18">
        <f>IFERROR(AVERAGE(I4:I15),"")</f>
        <v/>
      </c>
      <c r="J18">
        <f>IFERROR(AVERAGE(J4:J15),"")</f>
        <v/>
      </c>
      <c r="K18">
        <f>IFERROR(AVERAGE(K4:K15),"")</f>
        <v/>
      </c>
      <c r="L18">
        <f>IFERROR(AVERAGE(L4:L15),"")</f>
        <v/>
      </c>
      <c r="M18">
        <f>IFERROR(AVERAGE(M4:M15),"")</f>
        <v/>
      </c>
      <c r="N18">
        <f>IFERROR(AVERAGE(N4:N15),"")</f>
        <v/>
      </c>
      <c r="O18">
        <f>IFERROR(AVERAGE(O4:O15),"")</f>
        <v/>
      </c>
      <c r="P18">
        <f>IFERROR(AVERAGE(P4:P15),"")</f>
        <v/>
      </c>
      <c r="Q18">
        <f>IFERROR(AVERAGE(Q4:Q15),"")</f>
        <v/>
      </c>
      <c r="R18">
        <f>IFERROR(AVERAGE(R4:R15),"")</f>
        <v/>
      </c>
      <c r="S18">
        <f>IFERROR(AVERAGE(S4:S15),"")</f>
        <v/>
      </c>
      <c r="T18">
        <f>IFERROR(AVERAGE(T4:T15),"")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15</t>
        </is>
      </c>
      <c r="B1" s="1" t="inlineStr">
        <is>
          <t>Final Ranking Coaches Poll:</t>
        </is>
      </c>
      <c r="C1" s="1" t="inlineStr">
        <is>
          <t>Playoffs: No</t>
        </is>
      </c>
      <c r="D1" s="1" t="inlineStr">
        <is>
          <t>Conference: BIG 12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>
        <is>
          <t>UCLA</t>
        </is>
      </c>
      <c r="C4" t="n">
        <v>43</v>
      </c>
      <c r="D4" t="n">
        <v>10</v>
      </c>
      <c r="E4" t="n">
        <v>-6.5</v>
      </c>
      <c r="F4" t="n">
        <v>-111</v>
      </c>
      <c r="G4">
        <f>IFERROR(E4*(F4/-105),"")</f>
        <v/>
      </c>
      <c r="H4">
        <f>IFERROR((C4-D4)+E4,"")</f>
        <v/>
      </c>
      <c r="I4" t="n">
        <v>48.5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S4" t="n">
        <v>-238</v>
      </c>
      <c r="T4">
        <f>IFERROR(IF(S4&gt;0,100/(100+S4),ABS(S4)/(100+ABS(S4))),"")</f>
        <v/>
      </c>
    </row>
    <row r="5">
      <c r="A5" t="n">
        <v>2</v>
      </c>
      <c r="B5" t="inlineStr">
        <is>
          <t>Cal Poly</t>
        </is>
      </c>
      <c r="C5" t="n">
        <v>63</v>
      </c>
      <c r="D5" t="n">
        <v>9</v>
      </c>
      <c r="E5" t="n">
        <v>-42.5</v>
      </c>
      <c r="F5" t="n">
        <v>-112</v>
      </c>
      <c r="G5">
        <f>IFERROR(E5*(F5/-105),"")</f>
        <v/>
      </c>
      <c r="H5">
        <f>IFERROR((C5-D5)+E5,"")</f>
        <v/>
      </c>
      <c r="I5" t="n">
        <v>53.5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T5">
        <f>IFERROR(IF(S5&gt;0,100/(100+S5),ABS(S5)/(100+ABS(S5))),"")</f>
        <v/>
      </c>
    </row>
    <row r="6">
      <c r="A6" t="n">
        <v>3</v>
      </c>
      <c r="B6" t="inlineStr">
        <is>
          <t>Wyoming</t>
        </is>
      </c>
      <c r="C6" t="n">
        <v>31</v>
      </c>
      <c r="D6" t="n">
        <v>6</v>
      </c>
      <c r="E6" t="n">
        <v>-24.5</v>
      </c>
      <c r="F6" t="n">
        <v>-104</v>
      </c>
      <c r="G6">
        <f>IFERROR(E6*(F6/-105),"")</f>
        <v/>
      </c>
      <c r="H6">
        <f>IFERROR((C6-D6)+E6,"")</f>
        <v/>
      </c>
      <c r="I6" t="n">
        <v>47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S6" t="n">
        <v>-3609</v>
      </c>
      <c r="T6">
        <f>IFERROR(IF(S6&gt;0,100/(100+S6),ABS(S6)/(100+ABS(S6))),"")</f>
        <v/>
      </c>
    </row>
    <row r="7">
      <c r="A7" t="n">
        <v>4</v>
      </c>
      <c r="B7" t="inlineStr">
        <is>
          <t>Texas Tech</t>
        </is>
      </c>
      <c r="C7" t="n">
        <v>10</v>
      </c>
      <c r="D7" t="n">
        <v>34</v>
      </c>
      <c r="E7" t="n">
        <v>-3.5</v>
      </c>
      <c r="F7" t="n">
        <v>-107</v>
      </c>
      <c r="G7">
        <f>IFERROR(E7*(F7/-105),"")</f>
        <v/>
      </c>
      <c r="H7">
        <f>IFERROR((C7-D7)+E7,"")</f>
        <v/>
      </c>
      <c r="I7" t="n">
        <v>59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S7" t="n">
        <v>-166</v>
      </c>
      <c r="T7">
        <f>IFERROR(IF(S7&gt;0,100/(100+S7),ABS(S7)/(100+ABS(S7))),"")</f>
        <v/>
      </c>
    </row>
    <row r="8">
      <c r="A8" t="n">
        <v>5</v>
      </c>
      <c r="B8" t="inlineStr">
        <is>
          <t>West Virginia</t>
        </is>
      </c>
      <c r="C8" t="n">
        <v>48</v>
      </c>
      <c r="D8" t="n">
        <v>14</v>
      </c>
      <c r="E8" t="n">
        <v>-13.5</v>
      </c>
      <c r="F8" t="n">
        <v>-112</v>
      </c>
      <c r="G8">
        <f>IFERROR(E8*(F8/-105),"")</f>
        <v/>
      </c>
      <c r="H8">
        <f>IFERROR((C8-D8)+E8,"")</f>
        <v/>
      </c>
      <c r="I8" t="n">
        <v>47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S8" t="n">
        <v>-535</v>
      </c>
      <c r="T8">
        <f>IFERROR(IF(S8&gt;0,100/(100+S8),ABS(S8)/(100+ABS(S8))),"")</f>
        <v/>
      </c>
    </row>
    <row r="9">
      <c r="A9" t="n">
        <v>7</v>
      </c>
      <c r="B9" t="inlineStr">
        <is>
          <t>Arizona State</t>
        </is>
      </c>
      <c r="C9" t="n">
        <v>42</v>
      </c>
      <c r="D9" t="n">
        <v>10</v>
      </c>
      <c r="E9" t="n">
        <v>-9.5</v>
      </c>
      <c r="F9" t="n">
        <v>-109</v>
      </c>
      <c r="G9">
        <f>IFERROR(E9*(F9/-105),"")</f>
        <v/>
      </c>
      <c r="H9">
        <f>IFERROR((C9-D9)+E9,"")</f>
        <v/>
      </c>
      <c r="I9" t="n">
        <v>44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S9" t="n">
        <v>-340</v>
      </c>
      <c r="T9">
        <f>IFERROR(IF(S9&gt;0,100/(100+S9),ABS(S9)/(100+ABS(S9))),"")</f>
        <v/>
      </c>
    </row>
    <row r="10">
      <c r="A10" t="n">
        <v>8</v>
      </c>
      <c r="B10" t="inlineStr">
        <is>
          <t>BYU</t>
        </is>
      </c>
      <c r="C10" t="n">
        <v>21</v>
      </c>
      <c r="D10" t="n">
        <v>24</v>
      </c>
      <c r="E10" t="n">
        <v>-4.5</v>
      </c>
      <c r="F10" t="n">
        <v>-109</v>
      </c>
      <c r="G10">
        <f>IFERROR(E10*(F10/-105),"")</f>
        <v/>
      </c>
      <c r="H10">
        <f>IFERROR((C10-D10)+E10,"")</f>
        <v/>
      </c>
      <c r="I10" t="n">
        <v>49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S10" t="n">
        <v>-199</v>
      </c>
      <c r="T10">
        <f>IFERROR(IF(S10&gt;0,100/(100+S10),ABS(S10)/(100+ABS(S10))),"")</f>
        <v/>
      </c>
    </row>
    <row r="11">
      <c r="A11" t="n">
        <v>9</v>
      </c>
      <c r="B11" t="inlineStr">
        <is>
          <t>Colorado</t>
        </is>
      </c>
      <c r="C11" t="n">
        <v>53</v>
      </c>
      <c r="D11" t="n">
        <v>7</v>
      </c>
      <c r="E11" t="n">
        <v>-14</v>
      </c>
      <c r="F11" t="n">
        <v>-111</v>
      </c>
      <c r="G11">
        <f>IFERROR(E11*(F11/-105),"")</f>
        <v/>
      </c>
      <c r="H11">
        <f>IFERROR((C11-D11)+E11,"")</f>
        <v/>
      </c>
      <c r="I11" t="n">
        <v>49.5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S11" t="n">
        <v>-628</v>
      </c>
      <c r="T11">
        <f>IFERROR(IF(S11&gt;0,100/(100+S11),ABS(S11)/(100+ABS(S11))),"")</f>
        <v/>
      </c>
    </row>
    <row r="12">
      <c r="A12" t="n">
        <v>10</v>
      </c>
      <c r="B12" t="inlineStr">
        <is>
          <t>Cincinnati</t>
        </is>
      </c>
      <c r="C12" t="n">
        <v>45</v>
      </c>
      <c r="D12" t="n">
        <v>14</v>
      </c>
      <c r="E12" t="n">
        <v>-12</v>
      </c>
      <c r="F12" t="n">
        <v>-112</v>
      </c>
      <c r="G12">
        <f>IFERROR(E12*(F12/-105),"")</f>
        <v/>
      </c>
      <c r="H12">
        <f>IFERROR((C12-D12)+E12,"")</f>
        <v/>
      </c>
      <c r="I12" t="n">
        <v>57.5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-418</v>
      </c>
      <c r="T12">
        <f>IFERROR(IF(S12&gt;0,100/(100+S12),ABS(S12)/(100+ABS(S12))),"")</f>
        <v/>
      </c>
    </row>
    <row r="13">
      <c r="A13" t="n">
        <v>12</v>
      </c>
      <c r="B13" t="inlineStr">
        <is>
          <t>Baylor</t>
        </is>
      </c>
      <c r="C13" t="n">
        <v>55</v>
      </c>
      <c r="D13" t="n">
        <v>28</v>
      </c>
      <c r="E13" t="n">
        <v>-9.5</v>
      </c>
      <c r="F13" t="n">
        <v>-113</v>
      </c>
      <c r="G13">
        <f>IFERROR(E13*(F13/-105),"")</f>
        <v/>
      </c>
      <c r="H13">
        <f>IFERROR((C13-D13)+E13,"")</f>
        <v/>
      </c>
      <c r="I13" t="n">
        <v>61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S13" t="n">
        <v>-356</v>
      </c>
      <c r="T13">
        <f>IFERROR(IF(S13&gt;0,100/(100+S13),ABS(S13)/(100+ABS(S13))),"")</f>
        <v/>
      </c>
    </row>
    <row r="14">
      <c r="A14" t="n">
        <v>13</v>
      </c>
      <c r="B14" t="inlineStr">
        <is>
          <t>Kansas State</t>
        </is>
      </c>
      <c r="C14" t="n">
        <v>51</v>
      </c>
      <c r="D14" t="n">
        <v>47</v>
      </c>
      <c r="E14" t="n">
        <v>-17.5</v>
      </c>
      <c r="F14" t="n">
        <v>-109</v>
      </c>
      <c r="G14">
        <f>IFERROR(E14*(F14/-105),"")</f>
        <v/>
      </c>
      <c r="H14">
        <f>IFERROR((C14-D14)+E14,"")</f>
        <v/>
      </c>
      <c r="I14" t="n">
        <v>52.5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S14" t="n">
        <v>-909</v>
      </c>
      <c r="T14">
        <f>IFERROR(IF(S14&gt;0,100/(100+S14),ABS(S14)/(100+ABS(S14))),"")</f>
        <v/>
      </c>
    </row>
    <row r="15">
      <c r="A15" t="n">
        <v>14</v>
      </c>
      <c r="B15" t="inlineStr">
        <is>
          <t>Kansas</t>
        </is>
      </c>
      <c r="C15" t="n">
        <v>31</v>
      </c>
      <c r="D15" t="n">
        <v>21</v>
      </c>
      <c r="E15" t="n">
        <v>-10.5</v>
      </c>
      <c r="F15" t="n">
        <v>-107</v>
      </c>
      <c r="G15">
        <f>IFERROR(E15*(F15/-105),"")</f>
        <v/>
      </c>
      <c r="H15">
        <f>IFERROR((C15-D15)+E15,"")</f>
        <v/>
      </c>
      <c r="I15" t="n">
        <v>60.5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-442</v>
      </c>
      <c r="T15">
        <f>IFERROR(IF(S15&gt;0,100/(100+S15),ABS(S15)/(100+ABS(S15))),"")</f>
        <v/>
      </c>
    </row>
    <row r="17">
      <c r="A17" s="3" t="inlineStr">
        <is>
          <t>Net</t>
        </is>
      </c>
      <c r="C17">
        <f>SUM(C4:C15)</f>
        <v/>
      </c>
      <c r="D17">
        <f>SUM(D4:D15)</f>
        <v/>
      </c>
      <c r="E17">
        <f>SUM(E4:E15)</f>
        <v/>
      </c>
      <c r="F17">
        <f>SUM(F4:F15)</f>
        <v/>
      </c>
      <c r="G17">
        <f>SUM(G4:G15)</f>
        <v/>
      </c>
      <c r="H17">
        <f>SUM(H4:H15)</f>
        <v/>
      </c>
      <c r="I17">
        <f>SUM(I4:I15)</f>
        <v/>
      </c>
      <c r="J17">
        <f>SUM(J4:J15)</f>
        <v/>
      </c>
      <c r="K17">
        <f>SUM(K4:K15)</f>
        <v/>
      </c>
      <c r="L17">
        <f>SUM(L4:L15)</f>
        <v/>
      </c>
      <c r="M17">
        <f>SUM(M4:M15)</f>
        <v/>
      </c>
      <c r="N17">
        <f>SUM(N4:N15)</f>
        <v/>
      </c>
      <c r="O17">
        <f>SUM(O4:O15)</f>
        <v/>
      </c>
      <c r="P17">
        <f>SUM(P4:P15)</f>
        <v/>
      </c>
      <c r="Q17">
        <f>SUM(Q4:Q15)</f>
        <v/>
      </c>
      <c r="R17">
        <f>SUM(R4:R15)</f>
        <v/>
      </c>
      <c r="S17">
        <f>SUM(S4:S15)</f>
        <v/>
      </c>
      <c r="T17">
        <f>SUM(T4:T15)</f>
        <v/>
      </c>
    </row>
    <row r="18">
      <c r="A18" s="3" t="inlineStr">
        <is>
          <t>Average</t>
        </is>
      </c>
      <c r="C18">
        <f>IFERROR(AVERAGE(C4:C15),"")</f>
        <v/>
      </c>
      <c r="D18">
        <f>IFERROR(AVERAGE(D4:D15),"")</f>
        <v/>
      </c>
      <c r="E18">
        <f>IFERROR(AVERAGE(E4:E15),"")</f>
        <v/>
      </c>
      <c r="F18">
        <f>IFERROR(AVERAGE(F4:F15),"")</f>
        <v/>
      </c>
      <c r="G18">
        <f>IFERROR(AVERAGE(G4:G15),"")</f>
        <v/>
      </c>
      <c r="H18">
        <f>IFERROR(AVERAGE(H4:H15),"")</f>
        <v/>
      </c>
      <c r="I18">
        <f>IFERROR(AVERAGE(I4:I15),"")</f>
        <v/>
      </c>
      <c r="J18">
        <f>IFERROR(AVERAGE(J4:J15),"")</f>
        <v/>
      </c>
      <c r="K18">
        <f>IFERROR(AVERAGE(K4:K15),"")</f>
        <v/>
      </c>
      <c r="L18">
        <f>IFERROR(AVERAGE(L4:L15),"")</f>
        <v/>
      </c>
      <c r="M18">
        <f>IFERROR(AVERAGE(M4:M15),"")</f>
        <v/>
      </c>
      <c r="N18">
        <f>IFERROR(AVERAGE(N4:N15),"")</f>
        <v/>
      </c>
      <c r="O18">
        <f>IFERROR(AVERAGE(O4:O15),"")</f>
        <v/>
      </c>
      <c r="P18">
        <f>IFERROR(AVERAGE(P4:P15),"")</f>
        <v/>
      </c>
      <c r="Q18">
        <f>IFERROR(AVERAGE(Q4:Q15),"")</f>
        <v/>
      </c>
      <c r="R18">
        <f>IFERROR(AVERAGE(R4:R15),"")</f>
        <v/>
      </c>
      <c r="S18">
        <f>IFERROR(AVERAGE(S4:S15),"")</f>
        <v/>
      </c>
      <c r="T18">
        <f>IFERROR(AVERAGE(T4:T15),"")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16</t>
        </is>
      </c>
      <c r="B1" s="1" t="inlineStr">
        <is>
          <t>Final Ranking Coaches Poll:</t>
        </is>
      </c>
      <c r="C1" s="1" t="inlineStr">
        <is>
          <t>Playoffs: No</t>
        </is>
      </c>
      <c r="D1" s="1" t="inlineStr">
        <is>
          <t>Conference: BIG 10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>
        <is>
          <t>Missouri State</t>
        </is>
      </c>
      <c r="C4" t="n">
        <v>73</v>
      </c>
      <c r="D4" t="n">
        <v>13</v>
      </c>
      <c r="E4" t="n">
        <v>-36.5</v>
      </c>
      <c r="F4" t="n">
        <v>-110</v>
      </c>
      <c r="G4">
        <f>IFERROR(E4*(F4/-105),"")</f>
        <v/>
      </c>
      <c r="H4">
        <f>IFERROR((C4-D4)+E4,"")</f>
        <v/>
      </c>
      <c r="I4" t="n">
        <v>59.5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S4" t="n">
        <v>-4600</v>
      </c>
      <c r="T4">
        <f>IFERROR(IF(S4&gt;0,100/(100+S4),ABS(S4)/(100+ABS(S4))),"")</f>
        <v/>
      </c>
    </row>
    <row r="5">
      <c r="A5" t="n">
        <v>2</v>
      </c>
      <c r="B5" t="inlineStr">
        <is>
          <t>Georgia Southern</t>
        </is>
      </c>
      <c r="C5" t="n">
        <v>59</v>
      </c>
      <c r="D5" t="n">
        <v>20</v>
      </c>
      <c r="E5" t="n">
        <v>-30</v>
      </c>
      <c r="F5" t="n">
        <v>-110</v>
      </c>
      <c r="G5">
        <f>IFERROR(E5*(F5/-105),"")</f>
        <v/>
      </c>
      <c r="H5">
        <f>IFERROR((C5-D5)+E5,"")</f>
        <v/>
      </c>
      <c r="I5" t="n">
        <v>61.5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S5" t="n">
        <v>-7668</v>
      </c>
      <c r="T5">
        <f>IFERROR(IF(S5&gt;0,100/(100+S5),ABS(S5)/(100+ABS(S5))),"")</f>
        <v/>
      </c>
    </row>
    <row r="6">
      <c r="A6" t="n">
        <v>3</v>
      </c>
      <c r="B6" t="inlineStr">
        <is>
          <t>Purdue</t>
        </is>
      </c>
      <c r="C6" t="n">
        <v>33</v>
      </c>
      <c r="D6" t="n">
        <v>17</v>
      </c>
      <c r="E6" t="n">
        <v>-20.5</v>
      </c>
      <c r="F6" t="n">
        <v>-113</v>
      </c>
      <c r="G6">
        <f>IFERROR(E6*(F6/-105),"")</f>
        <v/>
      </c>
      <c r="H6">
        <f>IFERROR((C6-D6)+E6,"")</f>
        <v/>
      </c>
      <c r="I6" t="n">
        <v>60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S6" t="n">
        <v>-1706</v>
      </c>
      <c r="T6">
        <f>IFERROR(IF(S6&gt;0,100/(100+S6),ABS(S6)/(100+ABS(S6))),"")</f>
        <v/>
      </c>
    </row>
    <row r="7">
      <c r="A7" t="n">
        <v>4</v>
      </c>
      <c r="B7" t="inlineStr">
        <is>
          <t>Michigan State</t>
        </is>
      </c>
      <c r="C7" t="n">
        <v>45</v>
      </c>
      <c r="D7" t="n">
        <v>31</v>
      </c>
      <c r="E7" t="n">
        <v>-19</v>
      </c>
      <c r="F7" t="n">
        <v>-112</v>
      </c>
      <c r="G7">
        <f>IFERROR(E7*(F7/-105),"")</f>
        <v/>
      </c>
      <c r="H7">
        <f>IFERROR((C7-D7)+E7,"")</f>
        <v/>
      </c>
      <c r="I7" t="n">
        <v>55.5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S7" t="n">
        <v>-956</v>
      </c>
      <c r="T7">
        <f>IFERROR(IF(S7&gt;0,100/(100+S7),ABS(S7)/(100+ABS(S7))),"")</f>
        <v/>
      </c>
    </row>
    <row r="8">
      <c r="A8" t="n">
        <v>5</v>
      </c>
      <c r="B8" t="inlineStr">
        <is>
          <t>Illinois</t>
        </is>
      </c>
      <c r="C8" t="n">
        <v>32</v>
      </c>
      <c r="D8" t="n">
        <v>34</v>
      </c>
      <c r="E8" t="n">
        <v>-6.5</v>
      </c>
      <c r="F8" t="n">
        <v>-114</v>
      </c>
      <c r="G8">
        <f>IFERROR(E8*(F8/-105),"")</f>
        <v/>
      </c>
      <c r="H8">
        <f>IFERROR((C8-D8)+E8,"")</f>
        <v/>
      </c>
      <c r="I8" t="n">
        <v>61.5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S8" t="n">
        <v>-241</v>
      </c>
      <c r="T8">
        <f>IFERROR(IF(S8&gt;0,100/(100+S8),ABS(S8)/(100+ABS(S8))),"")</f>
        <v/>
      </c>
    </row>
    <row r="9">
      <c r="A9" t="n">
        <v>7</v>
      </c>
      <c r="B9" t="inlineStr">
        <is>
          <t>Michigan</t>
        </is>
      </c>
      <c r="C9" t="n">
        <v>31</v>
      </c>
      <c r="D9" t="n">
        <v>13</v>
      </c>
      <c r="E9" t="n">
        <v>-3</v>
      </c>
      <c r="F9" t="n">
        <v>-109</v>
      </c>
      <c r="G9">
        <f>IFERROR(E9*(F9/-105),"")</f>
        <v/>
      </c>
      <c r="H9">
        <f>IFERROR((C9-D9)+E9,"")</f>
        <v/>
      </c>
      <c r="I9" t="n">
        <v>57.5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S9" t="n">
        <v>-154</v>
      </c>
      <c r="T9">
        <f>IFERROR(IF(S9&gt;0,100/(100+S9),ABS(S9)/(100+ABS(S9))),"")</f>
        <v/>
      </c>
    </row>
    <row r="10">
      <c r="A10" t="n">
        <v>8</v>
      </c>
      <c r="B10" t="inlineStr">
        <is>
          <t>Notre Dame</t>
        </is>
      </c>
      <c r="C10" t="n">
        <v>24</v>
      </c>
      <c r="D10" t="n">
        <v>34</v>
      </c>
      <c r="E10" t="n">
        <v>10.5</v>
      </c>
      <c r="F10" t="n">
        <v>-112</v>
      </c>
      <c r="G10">
        <f>IFERROR(E10*(F10/-105),"")</f>
        <v/>
      </c>
      <c r="H10">
        <f>IFERROR((C10-D10)+E10,"")</f>
        <v/>
      </c>
      <c r="I10" t="n">
        <v>60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S10" t="n">
        <v>299</v>
      </c>
      <c r="T10">
        <f>IFERROR(IF(S10&gt;0,100/(100+S10),ABS(S10)/(100+ABS(S10))),"")</f>
        <v/>
      </c>
    </row>
    <row r="11">
      <c r="A11" t="n">
        <v>10</v>
      </c>
      <c r="B11" t="inlineStr">
        <is>
          <t>Nebraska</t>
        </is>
      </c>
      <c r="C11" t="n">
        <v>21</v>
      </c>
      <c r="D11" t="n">
        <v>17</v>
      </c>
      <c r="E11" t="n">
        <v>-4.5</v>
      </c>
      <c r="F11" t="n">
        <v>-110</v>
      </c>
      <c r="G11">
        <f>IFERROR(E11*(F11/-105),"")</f>
        <v/>
      </c>
      <c r="H11">
        <f>IFERROR((C11-D11)+E11,"")</f>
        <v/>
      </c>
      <c r="I11" t="n">
        <v>59.5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S11" t="n">
        <v>-189</v>
      </c>
      <c r="T11">
        <f>IFERROR(IF(S11&gt;0,100/(100+S11),ABS(S11)/(100+ABS(S11))),"")</f>
        <v/>
      </c>
    </row>
    <row r="12">
      <c r="A12" t="n">
        <v>11</v>
      </c>
      <c r="B12" t="inlineStr">
        <is>
          <t>Northwestern</t>
        </is>
      </c>
      <c r="C12" t="n">
        <v>38</v>
      </c>
      <c r="D12" t="n">
        <v>17</v>
      </c>
      <c r="E12" t="n">
        <v>-14</v>
      </c>
      <c r="F12" t="n">
        <v>-115</v>
      </c>
      <c r="G12">
        <f>IFERROR(E12*(F12/-105),"")</f>
        <v/>
      </c>
      <c r="H12">
        <f>IFERROR((C12-D12)+E12,"")</f>
        <v/>
      </c>
      <c r="I12" t="n">
        <v>53.5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-651</v>
      </c>
      <c r="T12">
        <f>IFERROR(IF(S12&gt;0,100/(100+S12),ABS(S12)/(100+ABS(S12))),"")</f>
        <v/>
      </c>
    </row>
    <row r="13">
      <c r="A13" t="n">
        <v>12</v>
      </c>
      <c r="B13" t="inlineStr">
        <is>
          <t>Iowa</t>
        </is>
      </c>
      <c r="C13" t="n">
        <v>26</v>
      </c>
      <c r="D13" t="n">
        <v>21</v>
      </c>
      <c r="E13" t="n">
        <v>-6.5</v>
      </c>
      <c r="F13" t="n">
        <v>-115</v>
      </c>
      <c r="G13">
        <f>IFERROR(E13*(F13/-105),"")</f>
        <v/>
      </c>
      <c r="H13">
        <f>IFERROR((C13-D13)+E13,"")</f>
        <v/>
      </c>
      <c r="I13" t="n">
        <v>48.5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S13" t="n">
        <v>-239</v>
      </c>
      <c r="T13">
        <f>IFERROR(IF(S13&gt;0,100/(100+S13),ABS(S13)/(100+ABS(S13))),"")</f>
        <v/>
      </c>
    </row>
    <row r="14">
      <c r="A14" t="n">
        <v>13</v>
      </c>
      <c r="B14" t="inlineStr">
        <is>
          <t>Oregon</t>
        </is>
      </c>
      <c r="C14" t="n">
        <v>27</v>
      </c>
      <c r="D14" t="n">
        <v>42</v>
      </c>
      <c r="E14" t="n">
        <v>10.5</v>
      </c>
      <c r="F14" t="n">
        <v>-111</v>
      </c>
      <c r="G14">
        <f>IFERROR(E14*(F14/-105),"")</f>
        <v/>
      </c>
      <c r="H14">
        <f>IFERROR((C14-D14)+E14,"")</f>
        <v/>
      </c>
      <c r="I14" t="n">
        <v>59.5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S14" t="n">
        <v>318</v>
      </c>
      <c r="T14">
        <f>IFERROR(IF(S14&gt;0,100/(100+S14),ABS(S14)/(100+ABS(S14))),"")</f>
        <v/>
      </c>
    </row>
    <row r="15">
      <c r="A15" t="n">
        <v>14</v>
      </c>
      <c r="B15" t="inlineStr">
        <is>
          <t>UCLA</t>
        </is>
      </c>
      <c r="C15" t="n">
        <v>29</v>
      </c>
      <c r="D15" t="n">
        <v>10</v>
      </c>
      <c r="E15" t="n">
        <v>-21</v>
      </c>
      <c r="F15" t="n">
        <v>-115</v>
      </c>
      <c r="G15">
        <f>IFERROR(E15*(F15/-105),"")</f>
        <v/>
      </c>
      <c r="H15">
        <f>IFERROR((C15-D15)+E15,"")</f>
        <v/>
      </c>
      <c r="I15" t="n">
        <v>58.5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-2210</v>
      </c>
      <c r="T15">
        <f>IFERROR(IF(S15&gt;0,100/(100+S15),ABS(S15)/(100+ABS(S15))),"")</f>
        <v/>
      </c>
    </row>
    <row r="17">
      <c r="A17" s="3" t="inlineStr">
        <is>
          <t>Net</t>
        </is>
      </c>
      <c r="C17">
        <f>SUM(C4:C15)</f>
        <v/>
      </c>
      <c r="D17">
        <f>SUM(D4:D15)</f>
        <v/>
      </c>
      <c r="E17">
        <f>SUM(E4:E15)</f>
        <v/>
      </c>
      <c r="F17">
        <f>SUM(F4:F15)</f>
        <v/>
      </c>
      <c r="G17">
        <f>SUM(G4:G15)</f>
        <v/>
      </c>
      <c r="H17">
        <f>SUM(H4:H15)</f>
        <v/>
      </c>
      <c r="I17">
        <f>SUM(I4:I15)</f>
        <v/>
      </c>
      <c r="J17">
        <f>SUM(J4:J15)</f>
        <v/>
      </c>
      <c r="K17">
        <f>SUM(K4:K15)</f>
        <v/>
      </c>
      <c r="L17">
        <f>SUM(L4:L15)</f>
        <v/>
      </c>
      <c r="M17">
        <f>SUM(M4:M15)</f>
        <v/>
      </c>
      <c r="N17">
        <f>SUM(N4:N15)</f>
        <v/>
      </c>
      <c r="O17">
        <f>SUM(O4:O15)</f>
        <v/>
      </c>
      <c r="P17">
        <f>SUM(P4:P15)</f>
        <v/>
      </c>
      <c r="Q17">
        <f>SUM(Q4:Q15)</f>
        <v/>
      </c>
      <c r="R17">
        <f>SUM(R4:R15)</f>
        <v/>
      </c>
      <c r="S17">
        <f>SUM(S4:S15)</f>
        <v/>
      </c>
      <c r="T17">
        <f>SUM(T4:T15)</f>
        <v/>
      </c>
    </row>
    <row r="18">
      <c r="A18" s="3" t="inlineStr">
        <is>
          <t>Average</t>
        </is>
      </c>
      <c r="C18">
        <f>IFERROR(AVERAGE(C4:C15),"")</f>
        <v/>
      </c>
      <c r="D18">
        <f>IFERROR(AVERAGE(D4:D15),"")</f>
        <v/>
      </c>
      <c r="E18">
        <f>IFERROR(AVERAGE(E4:E15),"")</f>
        <v/>
      </c>
      <c r="F18">
        <f>IFERROR(AVERAGE(F4:F15),"")</f>
        <v/>
      </c>
      <c r="G18">
        <f>IFERROR(AVERAGE(G4:G15),"")</f>
        <v/>
      </c>
      <c r="H18">
        <f>IFERROR(AVERAGE(H4:H15),"")</f>
        <v/>
      </c>
      <c r="I18">
        <f>IFERROR(AVERAGE(I4:I15),"")</f>
        <v/>
      </c>
      <c r="J18">
        <f>IFERROR(AVERAGE(J4:J15),"")</f>
        <v/>
      </c>
      <c r="K18">
        <f>IFERROR(AVERAGE(K4:K15),"")</f>
        <v/>
      </c>
      <c r="L18">
        <f>IFERROR(AVERAGE(L4:L15),"")</f>
        <v/>
      </c>
      <c r="M18">
        <f>IFERROR(AVERAGE(M4:M15),"")</f>
        <v/>
      </c>
      <c r="N18">
        <f>IFERROR(AVERAGE(N4:N15),"")</f>
        <v/>
      </c>
      <c r="O18">
        <f>IFERROR(AVERAGE(O4:O15),"")</f>
        <v/>
      </c>
      <c r="P18">
        <f>IFERROR(AVERAGE(P4:P15),"")</f>
        <v/>
      </c>
      <c r="Q18">
        <f>IFERROR(AVERAGE(Q4:Q15),"")</f>
        <v/>
      </c>
      <c r="R18">
        <f>IFERROR(AVERAGE(R4:R15),"")</f>
        <v/>
      </c>
      <c r="S18">
        <f>IFERROR(AVERAGE(S4:S15),"")</f>
        <v/>
      </c>
      <c r="T18">
        <f>IFERROR(AVERAGE(T4:T15),"")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17</t>
        </is>
      </c>
      <c r="B1" s="1" t="inlineStr">
        <is>
          <t>Final Ranking Coaches Poll:</t>
        </is>
      </c>
      <c r="C1" s="1" t="inlineStr">
        <is>
          <t>Playoffs: No</t>
        </is>
      </c>
      <c r="D1" s="1" t="inlineStr">
        <is>
          <t>Conference: American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>
        <is>
          <t>Northwestern</t>
        </is>
      </c>
      <c r="C4" t="n">
        <v>23</v>
      </c>
      <c r="D4" t="n">
        <v>3</v>
      </c>
      <c r="E4" t="n">
        <v>-6.5</v>
      </c>
      <c r="F4" t="n">
        <v>-107</v>
      </c>
      <c r="G4">
        <f>IFERROR(E4*(F4/-105),"")</f>
        <v/>
      </c>
      <c r="H4">
        <f>IFERROR((C4-D4)+E4,"")</f>
        <v/>
      </c>
      <c r="I4" t="n">
        <v>46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S4" t="n">
        <v>-226</v>
      </c>
      <c r="T4">
        <f>IFERROR(IF(S4&gt;0,100/(100+S4),ABS(S4)/(100+ABS(S4))),"")</f>
        <v/>
      </c>
    </row>
    <row r="5">
      <c r="A5" t="n">
        <v>2</v>
      </c>
      <c r="B5" t="inlineStr">
        <is>
          <t>South Alabama</t>
        </is>
      </c>
      <c r="C5" t="n">
        <v>33</v>
      </c>
      <c r="D5" t="n">
        <v>31</v>
      </c>
      <c r="E5" t="n">
        <v>-13.5</v>
      </c>
      <c r="F5" t="n">
        <v>-113</v>
      </c>
      <c r="G5">
        <f>IFERROR(E5*(F5/-105),"")</f>
        <v/>
      </c>
      <c r="H5">
        <f>IFERROR((C5-D5)+E5,"")</f>
        <v/>
      </c>
      <c r="I5" t="n">
        <v>51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S5" t="n">
        <v>-555</v>
      </c>
      <c r="T5">
        <f>IFERROR(IF(S5&gt;0,100/(100+S5),ABS(S5)/(100+ABS(S5))),"")</f>
        <v/>
      </c>
    </row>
    <row r="6">
      <c r="A6" t="n">
        <v>3</v>
      </c>
      <c r="B6" t="inlineStr">
        <is>
          <t>Duke</t>
        </is>
      </c>
      <c r="C6" t="n">
        <v>34</v>
      </c>
      <c r="D6" t="n">
        <v>27</v>
      </c>
      <c r="E6" t="n">
        <v>-1</v>
      </c>
      <c r="F6" t="n">
        <v>-111</v>
      </c>
      <c r="G6">
        <f>IFERROR(E6*(F6/-105),"")</f>
        <v/>
      </c>
      <c r="H6">
        <f>IFERROR((C6-D6)+E6,"")</f>
        <v/>
      </c>
      <c r="I6" t="n">
        <v>52.5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S6" t="n">
        <v>-118</v>
      </c>
      <c r="T6">
        <f>IFERROR(IF(S6&gt;0,100/(100+S6),ABS(S6)/(100+ABS(S6))),"")</f>
        <v/>
      </c>
    </row>
    <row r="7">
      <c r="A7" t="n">
        <v>4</v>
      </c>
      <c r="B7" t="inlineStr">
        <is>
          <t>Ole Miss</t>
        </is>
      </c>
      <c r="C7" t="n">
        <v>10</v>
      </c>
      <c r="D7" t="n">
        <v>45</v>
      </c>
      <c r="E7" t="n">
        <v>11</v>
      </c>
      <c r="F7" t="n">
        <v>-110</v>
      </c>
      <c r="G7">
        <f>IFERROR(E7*(F7/-105),"")</f>
        <v/>
      </c>
      <c r="H7">
        <f>IFERROR((C7-D7)+E7,"")</f>
        <v/>
      </c>
      <c r="I7" t="n">
        <v>61.5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S7" t="n">
        <v>334</v>
      </c>
      <c r="T7">
        <f>IFERROR(IF(S7&gt;0,100/(100+S7),ABS(S7)/(100+ABS(S7))),"")</f>
        <v/>
      </c>
    </row>
    <row r="8">
      <c r="A8" t="n">
        <v>5</v>
      </c>
      <c r="B8" t="inlineStr">
        <is>
          <t>Tulsa</t>
        </is>
      </c>
      <c r="C8" t="n">
        <v>31</v>
      </c>
      <c r="D8" t="n">
        <v>14</v>
      </c>
      <c r="E8" t="n">
        <v>-14.5</v>
      </c>
      <c r="F8" t="n">
        <v>-110</v>
      </c>
      <c r="G8">
        <f>IFERROR(E8*(F8/-105),"")</f>
        <v/>
      </c>
      <c r="H8">
        <f>IFERROR((C8-D8)+E8,"")</f>
        <v/>
      </c>
      <c r="I8" t="n">
        <v>52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S8" t="n">
        <v>-695</v>
      </c>
      <c r="T8">
        <f>IFERROR(IF(S8&gt;0,100/(100+S8),ABS(S8)/(100+ABS(S8))),"")</f>
        <v/>
      </c>
    </row>
    <row r="9">
      <c r="A9" t="n">
        <v>7</v>
      </c>
      <c r="B9" t="inlineStr">
        <is>
          <t>East Carolina</t>
        </is>
      </c>
      <c r="C9" t="n">
        <v>26</v>
      </c>
      <c r="D9" t="n">
        <v>19</v>
      </c>
      <c r="E9" t="n">
        <v>-7</v>
      </c>
      <c r="F9" t="n">
        <v>-108</v>
      </c>
      <c r="G9">
        <f>IFERROR(E9*(F9/-105),"")</f>
        <v/>
      </c>
      <c r="H9">
        <f>IFERROR((C9-D9)+E9,"")</f>
        <v/>
      </c>
      <c r="I9" t="n">
        <v>53.5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S9" t="n">
        <v>-255</v>
      </c>
      <c r="T9">
        <f>IFERROR(IF(S9&gt;0,100/(100+S9),ABS(S9)/(100+ABS(S9))),"")</f>
        <v/>
      </c>
    </row>
    <row r="10">
      <c r="A10" t="n">
        <v>8</v>
      </c>
      <c r="B10" t="inlineStr">
        <is>
          <t>Army</t>
        </is>
      </c>
      <c r="C10" t="n">
        <v>24</v>
      </c>
      <c r="D10" t="n">
        <v>17</v>
      </c>
      <c r="E10" t="n">
        <v>-10</v>
      </c>
      <c r="F10" t="n">
        <v>-113</v>
      </c>
      <c r="G10">
        <f>IFERROR(E10*(F10/-105),"")</f>
        <v/>
      </c>
      <c r="H10">
        <f>IFERROR((C10-D10)+E10,"")</f>
        <v/>
      </c>
      <c r="I10" t="n">
        <v>44.5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S10" t="n">
        <v>-380</v>
      </c>
      <c r="T10">
        <f>IFERROR(IF(S10&gt;0,100/(100+S10),ABS(S10)/(100+ABS(S10))),"")</f>
        <v/>
      </c>
    </row>
    <row r="11">
      <c r="A11" t="n">
        <v>10</v>
      </c>
      <c r="B11" t="inlineStr">
        <is>
          <t>UTSA</t>
        </is>
      </c>
      <c r="C11" t="n">
        <v>26</v>
      </c>
      <c r="D11" t="n">
        <v>48</v>
      </c>
      <c r="E11" t="n">
        <v>-6</v>
      </c>
      <c r="F11" t="n">
        <v>-110</v>
      </c>
      <c r="G11">
        <f>IFERROR(E11*(F11/-105),"")</f>
        <v/>
      </c>
      <c r="H11">
        <f>IFERROR((C11-D11)+E11,"")</f>
        <v/>
      </c>
      <c r="I11" t="n">
        <v>54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S11" t="n">
        <v>-225</v>
      </c>
      <c r="T11">
        <f>IFERROR(IF(S11&gt;0,100/(100+S11),ABS(S11)/(100+ABS(S11))),"")</f>
        <v/>
      </c>
    </row>
    <row r="12">
      <c r="A12" t="n">
        <v>11</v>
      </c>
      <c r="B12" t="inlineStr">
        <is>
          <t>Memphis</t>
        </is>
      </c>
      <c r="C12" t="n">
        <v>38</v>
      </c>
      <c r="D12" t="n">
        <v>32</v>
      </c>
      <c r="E12" t="n">
        <v>3</v>
      </c>
      <c r="F12" t="n">
        <v>-106</v>
      </c>
      <c r="G12">
        <f>IFERROR(E12*(F12/-105),"")</f>
        <v/>
      </c>
      <c r="H12">
        <f>IFERROR((C12-D12)+E12,"")</f>
        <v/>
      </c>
      <c r="I12" t="n">
        <v>54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136</v>
      </c>
      <c r="T12">
        <f>IFERROR(IF(S12&gt;0,100/(100+S12),ABS(S12)/(100+ABS(S12))),"")</f>
        <v/>
      </c>
    </row>
    <row r="13">
      <c r="A13" t="n">
        <v>12</v>
      </c>
      <c r="B13" t="inlineStr">
        <is>
          <t>Florida Atlantic</t>
        </is>
      </c>
      <c r="C13" t="n">
        <v>35</v>
      </c>
      <c r="D13" t="n">
        <v>24</v>
      </c>
      <c r="E13" t="n">
        <v>-16.5</v>
      </c>
      <c r="F13" t="n">
        <v>-112</v>
      </c>
      <c r="G13">
        <f>IFERROR(E13*(F13/-105),"")</f>
        <v/>
      </c>
      <c r="H13">
        <f>IFERROR((C13-D13)+E13,"")</f>
        <v/>
      </c>
      <c r="I13" t="n">
        <v>60.5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S13" t="n">
        <v>-780</v>
      </c>
      <c r="T13">
        <f>IFERROR(IF(S13&gt;0,100/(100+S13),ABS(S13)/(100+ABS(S13))),"")</f>
        <v/>
      </c>
    </row>
    <row r="14">
      <c r="A14" t="n">
        <v>13</v>
      </c>
      <c r="B14" t="inlineStr">
        <is>
          <t>Temple</t>
        </is>
      </c>
      <c r="C14" t="n">
        <v>37</v>
      </c>
      <c r="D14" t="n">
        <v>13</v>
      </c>
      <c r="E14" t="n">
        <v>-7.5</v>
      </c>
      <c r="F14" t="n">
        <v>-109</v>
      </c>
      <c r="G14">
        <f>IFERROR(E14*(F14/-105),"")</f>
        <v/>
      </c>
      <c r="H14">
        <f>IFERROR((C14-D14)+E14,"")</f>
        <v/>
      </c>
      <c r="I14" t="n">
        <v>54.5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S14" t="n">
        <v>-280</v>
      </c>
      <c r="T14">
        <f>IFERROR(IF(S14&gt;0,100/(100+S14),ABS(S14)/(100+ABS(S14))),"")</f>
        <v/>
      </c>
    </row>
    <row r="15">
      <c r="A15" t="n">
        <v>14</v>
      </c>
      <c r="B15" t="inlineStr">
        <is>
          <t>Charlotte</t>
        </is>
      </c>
      <c r="C15" t="n">
        <v>27</v>
      </c>
      <c r="D15" t="n">
        <v>0</v>
      </c>
      <c r="E15" t="n">
        <v>-31</v>
      </c>
      <c r="F15" t="n">
        <v>-110</v>
      </c>
      <c r="G15">
        <f>IFERROR(E15*(F15/-105),"")</f>
        <v/>
      </c>
      <c r="H15">
        <f>IFERROR((C15-D15)+E15,"")</f>
        <v/>
      </c>
      <c r="I15" t="n">
        <v>52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-12000</v>
      </c>
      <c r="T15">
        <f>IFERROR(IF(S15&gt;0,100/(100+S15),ABS(S15)/(100+ABS(S15))),"")</f>
        <v/>
      </c>
    </row>
    <row r="16">
      <c r="A16" t="n">
        <v>15</v>
      </c>
      <c r="B16" t="inlineStr">
        <is>
          <t>North Texas</t>
        </is>
      </c>
      <c r="C16" t="n">
        <v>34</v>
      </c>
      <c r="D16" t="n">
        <v>21</v>
      </c>
      <c r="E16" t="n">
        <v>1</v>
      </c>
      <c r="F16" t="n">
        <v>-110</v>
      </c>
      <c r="G16">
        <f>IFERROR(E16*(F16/-105),"")</f>
        <v/>
      </c>
      <c r="H16">
        <f>IFERROR((C16-D16)+E16,"")</f>
        <v/>
      </c>
      <c r="I16" t="n">
        <v>66.5</v>
      </c>
      <c r="J16">
        <f>IFERROR(I16/2-E16/2,"")</f>
        <v/>
      </c>
      <c r="K16">
        <f>IFERROR(C16-J16,"")</f>
        <v/>
      </c>
      <c r="L16">
        <f>IFERROR(I16/2+E16/2,"")</f>
        <v/>
      </c>
      <c r="M16">
        <f>IFERROR(D16-L16,"")</f>
        <v/>
      </c>
      <c r="N16">
        <f>IFERROR((C16-D16)+G16,"")</f>
        <v/>
      </c>
      <c r="O16">
        <f>IFERROR(I16/2-G16/2,"")</f>
        <v/>
      </c>
      <c r="P16">
        <f>IFERROR(C16-O16,"")</f>
        <v/>
      </c>
      <c r="Q16">
        <f>IFERROR(I16/2+G16/2,"")</f>
        <v/>
      </c>
      <c r="R16">
        <f>IFERROR(D16-Q16,"")</f>
        <v/>
      </c>
      <c r="S16" t="n">
        <v>100</v>
      </c>
      <c r="T16">
        <f>IFERROR(IF(S16&gt;0,100/(100+S16),ABS(S16)/(100+ABS(S16))),"")</f>
        <v/>
      </c>
    </row>
    <row r="18">
      <c r="A18" s="3" t="inlineStr">
        <is>
          <t>Net</t>
        </is>
      </c>
      <c r="C18">
        <f>SUM(C4:C16)</f>
        <v/>
      </c>
      <c r="D18">
        <f>SUM(D4:D16)</f>
        <v/>
      </c>
      <c r="E18">
        <f>SUM(E4:E16)</f>
        <v/>
      </c>
      <c r="F18">
        <f>SUM(F4:F16)</f>
        <v/>
      </c>
      <c r="G18">
        <f>SUM(G4:G16)</f>
        <v/>
      </c>
      <c r="H18">
        <f>SUM(H4:H16)</f>
        <v/>
      </c>
      <c r="I18">
        <f>SUM(I4:I16)</f>
        <v/>
      </c>
      <c r="J18">
        <f>SUM(J4:J16)</f>
        <v/>
      </c>
      <c r="K18">
        <f>SUM(K4:K16)</f>
        <v/>
      </c>
      <c r="L18">
        <f>SUM(L4:L16)</f>
        <v/>
      </c>
      <c r="M18">
        <f>SUM(M4:M16)</f>
        <v/>
      </c>
      <c r="N18">
        <f>SUM(N4:N16)</f>
        <v/>
      </c>
      <c r="O18">
        <f>SUM(O4:O16)</f>
        <v/>
      </c>
      <c r="P18">
        <f>SUM(P4:P16)</f>
        <v/>
      </c>
      <c r="Q18">
        <f>SUM(Q4:Q16)</f>
        <v/>
      </c>
      <c r="R18">
        <f>SUM(R4:R16)</f>
        <v/>
      </c>
      <c r="S18">
        <f>SUM(S4:S16)</f>
        <v/>
      </c>
      <c r="T18">
        <f>SUM(T4:T16)</f>
        <v/>
      </c>
    </row>
    <row r="19">
      <c r="A19" s="3" t="inlineStr">
        <is>
          <t>Average</t>
        </is>
      </c>
      <c r="C19">
        <f>IFERROR(AVERAGE(C4:C16),"")</f>
        <v/>
      </c>
      <c r="D19">
        <f>IFERROR(AVERAGE(D4:D16),"")</f>
        <v/>
      </c>
      <c r="E19">
        <f>IFERROR(AVERAGE(E4:E16),"")</f>
        <v/>
      </c>
      <c r="F19">
        <f>IFERROR(AVERAGE(F4:F16),"")</f>
        <v/>
      </c>
      <c r="G19">
        <f>IFERROR(AVERAGE(G4:G16),"")</f>
        <v/>
      </c>
      <c r="H19">
        <f>IFERROR(AVERAGE(H4:H16),"")</f>
        <v/>
      </c>
      <c r="I19">
        <f>IFERROR(AVERAGE(I4:I16),"")</f>
        <v/>
      </c>
      <c r="J19">
        <f>IFERROR(AVERAGE(J4:J16),"")</f>
        <v/>
      </c>
      <c r="K19">
        <f>IFERROR(AVERAGE(K4:K16),"")</f>
        <v/>
      </c>
      <c r="L19">
        <f>IFERROR(AVERAGE(L4:L16),"")</f>
        <v/>
      </c>
      <c r="M19">
        <f>IFERROR(AVERAGE(M4:M16),"")</f>
        <v/>
      </c>
      <c r="N19">
        <f>IFERROR(AVERAGE(N4:N16),"")</f>
        <v/>
      </c>
      <c r="O19">
        <f>IFERROR(AVERAGE(O4:O16),"")</f>
        <v/>
      </c>
      <c r="P19">
        <f>IFERROR(AVERAGE(P4:P16),"")</f>
        <v/>
      </c>
      <c r="Q19">
        <f>IFERROR(AVERAGE(Q4:Q16),"")</f>
        <v/>
      </c>
      <c r="R19">
        <f>IFERROR(AVERAGE(R4:R16),"")</f>
        <v/>
      </c>
      <c r="S19">
        <f>IFERROR(AVERAGE(S4:S16),"")</f>
        <v/>
      </c>
      <c r="T19">
        <f>IFERROR(AVERAGE(T4:T16),"")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18</t>
        </is>
      </c>
      <c r="B1" s="1" t="inlineStr">
        <is>
          <t>Final Ranking Coaches Poll:</t>
        </is>
      </c>
      <c r="C1" s="1" t="inlineStr">
        <is>
          <t>Playoffs: No</t>
        </is>
      </c>
      <c r="D1" s="1" t="inlineStr">
        <is>
          <t>Conference: BIG 10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>
        <is>
          <t>New Mexico</t>
        </is>
      </c>
      <c r="C4" t="n">
        <v>34</v>
      </c>
      <c r="D4" t="n">
        <v>17</v>
      </c>
      <c r="E4" t="n">
        <v>-34.5</v>
      </c>
      <c r="F4" t="n">
        <v>-111</v>
      </c>
      <c r="G4">
        <f>IFERROR(E4*(F4/-105),"")</f>
        <v/>
      </c>
      <c r="H4">
        <f>IFERROR((C4-D4)+E4,"")</f>
        <v/>
      </c>
      <c r="I4" t="n">
        <v>49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S4" t="n">
        <v>-7550</v>
      </c>
      <c r="T4">
        <f>IFERROR(IF(S4&gt;0,100/(100+S4),ABS(S4)/(100+ABS(S4))),"")</f>
        <v/>
      </c>
    </row>
    <row r="5">
      <c r="A5" t="n">
        <v>2</v>
      </c>
      <c r="B5" t="inlineStr">
        <is>
          <t>Oklahoma</t>
        </is>
      </c>
      <c r="C5" t="n">
        <v>13</v>
      </c>
      <c r="D5" t="n">
        <v>24</v>
      </c>
      <c r="E5" t="n">
        <v>4</v>
      </c>
      <c r="F5" t="n">
        <v>-110</v>
      </c>
      <c r="G5">
        <f>IFERROR(E5*(F5/-105),"")</f>
        <v/>
      </c>
      <c r="H5">
        <f>IFERROR((C5-D5)+E5,"")</f>
        <v/>
      </c>
      <c r="I5" t="n">
        <v>44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S5" t="n">
        <v>152</v>
      </c>
      <c r="T5">
        <f>IFERROR(IF(S5&gt;0,100/(100+S5),ABS(S5)/(100+ABS(S5))),"")</f>
        <v/>
      </c>
    </row>
    <row r="6">
      <c r="A6" t="n">
        <v>3</v>
      </c>
      <c r="B6" t="inlineStr">
        <is>
          <t>Central Michigan</t>
        </is>
      </c>
      <c r="C6" t="n">
        <v>63</v>
      </c>
      <c r="D6" t="n">
        <v>3</v>
      </c>
      <c r="E6" t="n">
        <v>-28</v>
      </c>
      <c r="F6" t="n">
        <v>-111</v>
      </c>
      <c r="G6">
        <f>IFERROR(E6*(F6/-105),"")</f>
        <v/>
      </c>
      <c r="H6">
        <f>IFERROR((C6-D6)+E6,"")</f>
        <v/>
      </c>
      <c r="I6" t="n">
        <v>43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S6" t="n">
        <v>-4825</v>
      </c>
      <c r="T6">
        <f>IFERROR(IF(S6&gt;0,100/(100+S6),ABS(S6)/(100+ABS(S6))),"")</f>
        <v/>
      </c>
    </row>
    <row r="7">
      <c r="A7" t="n">
        <v>4</v>
      </c>
      <c r="B7" t="inlineStr">
        <is>
          <t>Nebraska</t>
        </is>
      </c>
      <c r="C7" t="n">
        <v>30</v>
      </c>
      <c r="D7" t="n">
        <v>27</v>
      </c>
      <c r="E7" t="n">
        <v>-1</v>
      </c>
      <c r="F7" t="n">
        <v>-111</v>
      </c>
      <c r="G7">
        <f>IFERROR(E7*(F7/-105),"")</f>
        <v/>
      </c>
      <c r="H7">
        <f>IFERROR((C7-D7)+E7,"")</f>
        <v/>
      </c>
      <c r="I7" t="n">
        <v>47.5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S7" t="n">
        <v>-114</v>
      </c>
      <c r="T7">
        <f>IFERROR(IF(S7&gt;0,100/(100+S7),ABS(S7)/(100+ABS(S7))),"")</f>
        <v/>
      </c>
    </row>
    <row r="8">
      <c r="A8" t="n">
        <v>6</v>
      </c>
      <c r="B8" t="inlineStr">
        <is>
          <t>Wisconsin</t>
        </is>
      </c>
      <c r="C8" t="n">
        <v>24</v>
      </c>
      <c r="D8" t="n">
        <v>10</v>
      </c>
      <c r="E8" t="n">
        <v>-17.5</v>
      </c>
      <c r="F8" t="n">
        <v>-106</v>
      </c>
      <c r="G8">
        <f>IFERROR(E8*(F8/-105),"")</f>
        <v/>
      </c>
      <c r="H8">
        <f>IFERROR((C8-D8)+E8,"")</f>
        <v/>
      </c>
      <c r="I8" t="n">
        <v>42.5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S8" t="n">
        <v>-959</v>
      </c>
      <c r="T8">
        <f>IFERROR(IF(S8&gt;0,100/(100+S8),ABS(S8)/(100+ABS(S8))),"")</f>
        <v/>
      </c>
    </row>
    <row r="9">
      <c r="A9" t="n">
        <v>7</v>
      </c>
      <c r="B9" t="inlineStr">
        <is>
          <t>USC</t>
        </is>
      </c>
      <c r="C9" t="n">
        <v>13</v>
      </c>
      <c r="D9" t="n">
        <v>31</v>
      </c>
      <c r="E9" t="n">
        <v>3</v>
      </c>
      <c r="F9" t="n">
        <v>-112</v>
      </c>
      <c r="G9">
        <f>IFERROR(E9*(F9/-105),"")</f>
        <v/>
      </c>
      <c r="H9">
        <f>IFERROR((C9-D9)+E9,"")</f>
        <v/>
      </c>
      <c r="I9" t="n">
        <v>57.5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S9" t="n">
        <v>129</v>
      </c>
      <c r="T9">
        <f>IFERROR(IF(S9&gt;0,100/(100+S9),ABS(S9)/(100+ABS(S9))),"")</f>
        <v/>
      </c>
    </row>
    <row r="10">
      <c r="A10" t="n">
        <v>8</v>
      </c>
      <c r="B10" t="inlineStr">
        <is>
          <t>Washington</t>
        </is>
      </c>
      <c r="C10" t="n">
        <v>24</v>
      </c>
      <c r="D10" t="n">
        <v>7</v>
      </c>
      <c r="E10" t="n">
        <v>-4</v>
      </c>
      <c r="F10" t="n">
        <v>-111</v>
      </c>
      <c r="G10">
        <f>IFERROR(E10*(F10/-105),"")</f>
        <v/>
      </c>
      <c r="H10">
        <f>IFERROR((C10-D10)+E10,"")</f>
        <v/>
      </c>
      <c r="I10" t="n">
        <v>50.5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S10" t="n">
        <v>-193</v>
      </c>
      <c r="T10">
        <f>IFERROR(IF(S10&gt;0,100/(100+S10),ABS(S10)/(100+ABS(S10))),"")</f>
        <v/>
      </c>
    </row>
    <row r="11">
      <c r="A11" t="n">
        <v>9</v>
      </c>
      <c r="B11" t="inlineStr">
        <is>
          <t>Michigan State</t>
        </is>
      </c>
      <c r="C11" t="n">
        <v>31</v>
      </c>
      <c r="D11" t="n">
        <v>20</v>
      </c>
      <c r="E11" t="n">
        <v>-13.5</v>
      </c>
      <c r="F11" t="n">
        <v>-111</v>
      </c>
      <c r="G11">
        <f>IFERROR(E11*(F11/-105),"")</f>
        <v/>
      </c>
      <c r="H11">
        <f>IFERROR((C11-D11)+E11,"")</f>
        <v/>
      </c>
      <c r="I11" t="n">
        <v>47.5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S11" t="n">
        <v>-579</v>
      </c>
      <c r="T11">
        <f>IFERROR(IF(S11&gt;0,100/(100+S11),ABS(S11)/(100+ABS(S11))),"")</f>
        <v/>
      </c>
    </row>
    <row r="12">
      <c r="A12" t="n">
        <v>10</v>
      </c>
      <c r="B12" t="inlineStr">
        <is>
          <t>Purdue</t>
        </is>
      </c>
      <c r="C12" t="n">
        <v>21</v>
      </c>
      <c r="D12" t="n">
        <v>16</v>
      </c>
      <c r="E12" t="n">
        <v>-21</v>
      </c>
      <c r="F12" t="n">
        <v>-112</v>
      </c>
      <c r="G12">
        <f>IFERROR(E12*(F12/-105),"")</f>
        <v/>
      </c>
      <c r="H12">
        <f>IFERROR((C12-D12)+E12,"")</f>
        <v/>
      </c>
      <c r="I12" t="n">
        <v>48.5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-1772</v>
      </c>
      <c r="T12">
        <f>IFERROR(IF(S12&gt;0,100/(100+S12),ABS(S12)/(100+ABS(S12))),"")</f>
        <v/>
      </c>
    </row>
    <row r="13">
      <c r="A13" t="n">
        <v>12</v>
      </c>
      <c r="B13" t="inlineStr">
        <is>
          <t>Northwestern</t>
        </is>
      </c>
      <c r="C13" t="n">
        <v>24</v>
      </c>
      <c r="D13" t="n">
        <v>22</v>
      </c>
      <c r="E13" t="n">
        <v>-10.5</v>
      </c>
      <c r="F13" t="n">
        <v>-108</v>
      </c>
      <c r="G13">
        <f>IFERROR(E13*(F13/-105),"")</f>
        <v/>
      </c>
      <c r="H13">
        <f>IFERROR((C13-D13)+E13,"")</f>
        <v/>
      </c>
      <c r="I13" t="n">
        <v>41.5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S13" t="n">
        <v>-436</v>
      </c>
      <c r="T13">
        <f>IFERROR(IF(S13&gt;0,100/(100+S13),ABS(S13)/(100+ABS(S13))),"")</f>
        <v/>
      </c>
    </row>
    <row r="14">
      <c r="A14" t="n">
        <v>13</v>
      </c>
      <c r="B14" t="inlineStr">
        <is>
          <t>Maryland</t>
        </is>
      </c>
      <c r="C14" t="n">
        <v>45</v>
      </c>
      <c r="D14" t="n">
        <v>20</v>
      </c>
      <c r="E14" t="n">
        <v>-14</v>
      </c>
      <c r="F14" t="n">
        <v>-110</v>
      </c>
      <c r="G14">
        <f>IFERROR(E14*(F14/-105),"")</f>
        <v/>
      </c>
      <c r="H14">
        <f>IFERROR((C14-D14)+E14,"")</f>
        <v/>
      </c>
      <c r="I14" t="n">
        <v>46.5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S14" t="n">
        <v>-593</v>
      </c>
      <c r="T14">
        <f>IFERROR(IF(S14&gt;0,100/(100+S14),ABS(S14)/(100+ABS(S14))),"")</f>
        <v/>
      </c>
    </row>
    <row r="15">
      <c r="A15" t="n">
        <v>14</v>
      </c>
      <c r="B15" t="inlineStr">
        <is>
          <t>Ohio State</t>
        </is>
      </c>
      <c r="C15" t="n">
        <v>9</v>
      </c>
      <c r="D15" t="n">
        <v>27</v>
      </c>
      <c r="E15" t="n">
        <v>9.5</v>
      </c>
      <c r="F15" t="n">
        <v>-106</v>
      </c>
      <c r="G15">
        <f>IFERROR(E15*(F15/-105),"")</f>
        <v/>
      </c>
      <c r="H15">
        <f>IFERROR((C15-D15)+E15,"")</f>
        <v/>
      </c>
      <c r="I15" t="n">
        <v>43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306</v>
      </c>
      <c r="T15">
        <f>IFERROR(IF(S15&gt;0,100/(100+S15),ABS(S15)/(100+ABS(S15))),"")</f>
        <v/>
      </c>
    </row>
    <row r="17">
      <c r="A17" s="3" t="inlineStr">
        <is>
          <t>Net</t>
        </is>
      </c>
      <c r="C17">
        <f>SUM(C4:C15)</f>
        <v/>
      </c>
      <c r="D17">
        <f>SUM(D4:D15)</f>
        <v/>
      </c>
      <c r="E17">
        <f>SUM(E4:E15)</f>
        <v/>
      </c>
      <c r="F17">
        <f>SUM(F4:F15)</f>
        <v/>
      </c>
      <c r="G17">
        <f>SUM(G4:G15)</f>
        <v/>
      </c>
      <c r="H17">
        <f>SUM(H4:H15)</f>
        <v/>
      </c>
      <c r="I17">
        <f>SUM(I4:I15)</f>
        <v/>
      </c>
      <c r="J17">
        <f>SUM(J4:J15)</f>
        <v/>
      </c>
      <c r="K17">
        <f>SUM(K4:K15)</f>
        <v/>
      </c>
      <c r="L17">
        <f>SUM(L4:L15)</f>
        <v/>
      </c>
      <c r="M17">
        <f>SUM(M4:M15)</f>
        <v/>
      </c>
      <c r="N17">
        <f>SUM(N4:N15)</f>
        <v/>
      </c>
      <c r="O17">
        <f>SUM(O4:O15)</f>
        <v/>
      </c>
      <c r="P17">
        <f>SUM(P4:P15)</f>
        <v/>
      </c>
      <c r="Q17">
        <f>SUM(Q4:Q15)</f>
        <v/>
      </c>
      <c r="R17">
        <f>SUM(R4:R15)</f>
        <v/>
      </c>
      <c r="S17">
        <f>SUM(S4:S15)</f>
        <v/>
      </c>
      <c r="T17">
        <f>SUM(T4:T15)</f>
        <v/>
      </c>
    </row>
    <row r="18">
      <c r="A18" s="3" t="inlineStr">
        <is>
          <t>Average</t>
        </is>
      </c>
      <c r="C18">
        <f>IFERROR(AVERAGE(C4:C15),"")</f>
        <v/>
      </c>
      <c r="D18">
        <f>IFERROR(AVERAGE(D4:D15),"")</f>
        <v/>
      </c>
      <c r="E18">
        <f>IFERROR(AVERAGE(E4:E15),"")</f>
        <v/>
      </c>
      <c r="F18">
        <f>IFERROR(AVERAGE(F4:F15),"")</f>
        <v/>
      </c>
      <c r="G18">
        <f>IFERROR(AVERAGE(G4:G15),"")</f>
        <v/>
      </c>
      <c r="H18">
        <f>IFERROR(AVERAGE(H4:H15),"")</f>
        <v/>
      </c>
      <c r="I18">
        <f>IFERROR(AVERAGE(I4:I15),"")</f>
        <v/>
      </c>
      <c r="J18">
        <f>IFERROR(AVERAGE(J4:J15),"")</f>
        <v/>
      </c>
      <c r="K18">
        <f>IFERROR(AVERAGE(K4:K15),"")</f>
        <v/>
      </c>
      <c r="L18">
        <f>IFERROR(AVERAGE(L4:L15),"")</f>
        <v/>
      </c>
      <c r="M18">
        <f>IFERROR(AVERAGE(M4:M15),"")</f>
        <v/>
      </c>
      <c r="N18">
        <f>IFERROR(AVERAGE(N4:N15),"")</f>
        <v/>
      </c>
      <c r="O18">
        <f>IFERROR(AVERAGE(O4:O15),"")</f>
        <v/>
      </c>
      <c r="P18">
        <f>IFERROR(AVERAGE(P4:P15),"")</f>
        <v/>
      </c>
      <c r="Q18">
        <f>IFERROR(AVERAGE(Q4:Q15),"")</f>
        <v/>
      </c>
      <c r="R18">
        <f>IFERROR(AVERAGE(R4:R15),"")</f>
        <v/>
      </c>
      <c r="S18">
        <f>IFERROR(AVERAGE(S4:S15),"")</f>
        <v/>
      </c>
      <c r="T18">
        <f>IFERROR(AVERAGE(T4:T15),"")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19</t>
        </is>
      </c>
      <c r="B1" s="1" t="inlineStr">
        <is>
          <t>Final Ranking Coaches Poll:</t>
        </is>
      </c>
      <c r="C1" s="1" t="inlineStr">
        <is>
          <t>Playoffs: No</t>
        </is>
      </c>
      <c r="D1" s="1" t="inlineStr">
        <is>
          <t>Conference: Sun Belt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>
        <is>
          <t>Weber State</t>
        </is>
      </c>
      <c r="C4" t="n">
        <v>45</v>
      </c>
      <c r="D4" t="n">
        <v>10</v>
      </c>
      <c r="E4" t="n">
        <v>-27.5</v>
      </c>
      <c r="F4" t="n">
        <v>-110</v>
      </c>
      <c r="G4">
        <f>IFERROR(E4*(F4/-105),"")</f>
        <v/>
      </c>
      <c r="H4">
        <f>IFERROR((C4-D4)+E4,"")</f>
        <v/>
      </c>
      <c r="I4" t="n">
        <v>55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S4" t="n">
        <v>-6420</v>
      </c>
      <c r="T4">
        <f>IFERROR(IF(S4&gt;0,100/(100+S4),ABS(S4)/(100+ABS(S4))),"")</f>
        <v/>
      </c>
    </row>
    <row r="5">
      <c r="A5" t="n">
        <v>2</v>
      </c>
      <c r="B5" t="inlineStr">
        <is>
          <t>Louisville</t>
        </is>
      </c>
      <c r="C5" t="n">
        <v>14</v>
      </c>
      <c r="D5" t="n">
        <v>28</v>
      </c>
      <c r="E5" t="n">
        <v>15.5</v>
      </c>
      <c r="F5" t="n">
        <v>-111</v>
      </c>
      <c r="G5">
        <f>IFERROR(E5*(F5/-105),"")</f>
        <v/>
      </c>
      <c r="H5">
        <f>IFERROR((C5-D5)+E5,"")</f>
        <v/>
      </c>
      <c r="I5" t="n">
        <v>56.5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S5" t="n">
        <v>493</v>
      </c>
      <c r="T5">
        <f>IFERROR(IF(S5&gt;0,100/(100+S5),ABS(S5)/(100+ABS(S5))),"")</f>
        <v/>
      </c>
    </row>
    <row r="6">
      <c r="A6" t="n">
        <v>4</v>
      </c>
      <c r="B6" t="inlineStr">
        <is>
          <t>Liberty</t>
        </is>
      </c>
      <c r="C6" t="n">
        <v>31</v>
      </c>
      <c r="D6" t="n">
        <v>13</v>
      </c>
      <c r="E6" t="n">
        <v>-7.5</v>
      </c>
      <c r="F6" t="n">
        <v>-111</v>
      </c>
      <c r="G6">
        <f>IFERROR(E6*(F6/-105),"")</f>
        <v/>
      </c>
      <c r="H6">
        <f>IFERROR((C6-D6)+E6,"")</f>
        <v/>
      </c>
      <c r="I6" t="n">
        <v>46.5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S6" t="n">
        <v>-313</v>
      </c>
      <c r="T6">
        <f>IFERROR(IF(S6&gt;0,100/(100+S6),ABS(S6)/(100+ABS(S6))),"")</f>
        <v/>
      </c>
    </row>
    <row r="7">
      <c r="A7" t="n">
        <v>5</v>
      </c>
      <c r="B7" t="inlineStr">
        <is>
          <t>Georgia Southern</t>
        </is>
      </c>
      <c r="C7" t="n">
        <v>35</v>
      </c>
      <c r="D7" t="n">
        <v>10</v>
      </c>
      <c r="E7" t="n">
        <v>-14.5</v>
      </c>
      <c r="F7" t="n">
        <v>-115</v>
      </c>
      <c r="G7">
        <f>IFERROR(E7*(F7/-105),"")</f>
        <v/>
      </c>
      <c r="H7">
        <f>IFERROR((C7-D7)+E7,"")</f>
        <v/>
      </c>
      <c r="I7" t="n">
        <v>54.5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S7" t="n">
        <v>-666</v>
      </c>
      <c r="T7">
        <f>IFERROR(IF(S7&gt;0,100/(100+S7),ABS(S7)/(100+ABS(S7))),"")</f>
        <v/>
      </c>
    </row>
    <row r="8">
      <c r="A8" t="n">
        <v>6</v>
      </c>
      <c r="B8" t="inlineStr">
        <is>
          <t>Georgia State</t>
        </is>
      </c>
      <c r="C8" t="n">
        <v>14</v>
      </c>
      <c r="D8" t="n">
        <v>7</v>
      </c>
      <c r="E8" t="n">
        <v>-19.5</v>
      </c>
      <c r="F8" t="n">
        <v>-110</v>
      </c>
      <c r="G8">
        <f>IFERROR(E8*(F8/-105),"")</f>
        <v/>
      </c>
      <c r="H8">
        <f>IFERROR((C8-D8)+E8,"")</f>
        <v/>
      </c>
      <c r="I8" t="n">
        <v>52.5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S8" t="n">
        <v>-1350</v>
      </c>
      <c r="T8">
        <f>IFERROR(IF(S8&gt;0,100/(100+S8),ABS(S8)/(100+ABS(S8))),"")</f>
        <v/>
      </c>
    </row>
    <row r="9">
      <c r="A9" t="n">
        <v>7</v>
      </c>
      <c r="B9" t="inlineStr">
        <is>
          <t>Louisiana-Lafayette</t>
        </is>
      </c>
      <c r="C9" t="n">
        <v>24</v>
      </c>
      <c r="D9" t="n">
        <v>14</v>
      </c>
      <c r="E9" t="n">
        <v>-18.5</v>
      </c>
      <c r="F9" t="n">
        <v>-112</v>
      </c>
      <c r="G9">
        <f>IFERROR(E9*(F9/-105),"")</f>
        <v/>
      </c>
      <c r="H9">
        <f>IFERROR((C9-D9)+E9,"")</f>
        <v/>
      </c>
      <c r="I9" t="n">
        <v>45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S9" t="n">
        <v>-1135</v>
      </c>
      <c r="T9">
        <f>IFERROR(IF(S9&gt;0,100/(100+S9),ABS(S9)/(100+ABS(S9))),"")</f>
        <v/>
      </c>
    </row>
    <row r="10">
      <c r="A10" t="n">
        <v>8</v>
      </c>
      <c r="B10" t="inlineStr">
        <is>
          <t>Old Dominion</t>
        </is>
      </c>
      <c r="C10" t="n">
        <v>63</v>
      </c>
      <c r="D10" t="n">
        <v>27</v>
      </c>
      <c r="E10" t="n">
        <v>-3</v>
      </c>
      <c r="F10" t="n">
        <v>-109</v>
      </c>
      <c r="G10">
        <f>IFERROR(E10*(F10/-105),"")</f>
        <v/>
      </c>
      <c r="H10">
        <f>IFERROR((C10-D10)+E10,"")</f>
        <v/>
      </c>
      <c r="I10" t="n">
        <v>47.5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S10" t="n">
        <v>-154</v>
      </c>
      <c r="T10">
        <f>IFERROR(IF(S10&gt;0,100/(100+S10),ABS(S10)/(100+ABS(S10))),"")</f>
        <v/>
      </c>
    </row>
    <row r="11">
      <c r="A11" t="n">
        <v>10</v>
      </c>
      <c r="B11" t="inlineStr">
        <is>
          <t>Texas State</t>
        </is>
      </c>
      <c r="C11" t="n">
        <v>52</v>
      </c>
      <c r="D11" t="n">
        <v>20</v>
      </c>
      <c r="E11" t="n">
        <v>-7.5</v>
      </c>
      <c r="F11" t="n">
        <v>-104</v>
      </c>
      <c r="G11">
        <f>IFERROR(E11*(F11/-105),"")</f>
        <v/>
      </c>
      <c r="H11">
        <f>IFERROR((C11-D11)+E11,"")</f>
        <v/>
      </c>
      <c r="I11" t="n">
        <v>55.5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S11" t="n">
        <v>-281</v>
      </c>
      <c r="T11">
        <f>IFERROR(IF(S11&gt;0,100/(100+S11),ABS(S11)/(100+ABS(S11))),"")</f>
        <v/>
      </c>
    </row>
    <row r="12">
      <c r="A12" t="n">
        <v>11</v>
      </c>
      <c r="B12" t="inlineStr">
        <is>
          <t>Marshall</t>
        </is>
      </c>
      <c r="C12" t="n">
        <v>35</v>
      </c>
      <c r="D12" t="n">
        <v>23</v>
      </c>
      <c r="E12" t="n">
        <v>-13.5</v>
      </c>
      <c r="F12" t="n">
        <v>-114</v>
      </c>
      <c r="G12">
        <f>IFERROR(E12*(F12/-105),"")</f>
        <v/>
      </c>
      <c r="H12">
        <f>IFERROR((C12-D12)+E12,"")</f>
        <v/>
      </c>
      <c r="I12" t="n">
        <v>53.5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-569</v>
      </c>
      <c r="T12">
        <f>IFERROR(IF(S12&gt;0,100/(100+S12),ABS(S12)/(100+ABS(S12))),"")</f>
        <v/>
      </c>
    </row>
    <row r="13">
      <c r="A13" t="n">
        <v>12</v>
      </c>
      <c r="B13" t="inlineStr">
        <is>
          <t>Appalachian State</t>
        </is>
      </c>
      <c r="C13" t="n">
        <v>58</v>
      </c>
      <c r="D13" t="n">
        <v>10</v>
      </c>
      <c r="E13" t="n">
        <v>-21</v>
      </c>
      <c r="F13" t="n">
        <v>-112</v>
      </c>
      <c r="G13">
        <f>IFERROR(E13*(F13/-105),"")</f>
        <v/>
      </c>
      <c r="H13">
        <f>IFERROR((C13-D13)+E13,"")</f>
        <v/>
      </c>
      <c r="I13" t="n">
        <v>53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S13" t="n">
        <v>-1633</v>
      </c>
      <c r="T13">
        <f>IFERROR(IF(S13&gt;0,100/(100+S13),ABS(S13)/(100+ABS(S13))),"")</f>
        <v/>
      </c>
    </row>
    <row r="14">
      <c r="A14" t="n">
        <v>13</v>
      </c>
      <c r="B14" t="inlineStr">
        <is>
          <t>Washington State</t>
        </is>
      </c>
      <c r="C14" t="n">
        <v>24</v>
      </c>
      <c r="D14" t="n">
        <v>20</v>
      </c>
      <c r="E14" t="n">
        <v>-15</v>
      </c>
      <c r="F14" t="n">
        <v>-109</v>
      </c>
      <c r="G14">
        <f>IFERROR(E14*(F14/-105),"")</f>
        <v/>
      </c>
      <c r="H14">
        <f>IFERROR((C14-D14)+E14,"")</f>
        <v/>
      </c>
      <c r="I14" t="n">
        <v>44.5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S14" t="n">
        <v>-698</v>
      </c>
      <c r="T14">
        <f>IFERROR(IF(S14&gt;0,100/(100+S14),ABS(S14)/(100+ABS(S14))),"")</f>
        <v/>
      </c>
    </row>
    <row r="15">
      <c r="A15" t="n">
        <v>14</v>
      </c>
      <c r="B15" t="inlineStr">
        <is>
          <t>Coastal Carolina</t>
        </is>
      </c>
      <c r="C15" t="n">
        <v>59</v>
      </c>
      <c r="D15" t="n">
        <v>10</v>
      </c>
      <c r="E15" t="n">
        <v>-23.5</v>
      </c>
      <c r="F15" t="n">
        <v>-115</v>
      </c>
      <c r="G15">
        <f>IFERROR(E15*(F15/-105),"")</f>
        <v/>
      </c>
      <c r="H15">
        <f>IFERROR((C15-D15)+E15,"")</f>
        <v/>
      </c>
      <c r="I15" t="n">
        <v>54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-2920</v>
      </c>
      <c r="T15">
        <f>IFERROR(IF(S15&gt;0,100/(100+S15),ABS(S15)/(100+ABS(S15))),"")</f>
        <v/>
      </c>
    </row>
    <row r="16">
      <c r="A16" t="n">
        <v>15</v>
      </c>
      <c r="B16" t="inlineStr">
        <is>
          <t>Troy</t>
        </is>
      </c>
      <c r="C16" t="n">
        <v>31</v>
      </c>
      <c r="D16" t="n">
        <v>14</v>
      </c>
      <c r="E16" t="n">
        <v>-24.5</v>
      </c>
      <c r="F16" t="n">
        <v>-111</v>
      </c>
      <c r="G16">
        <f>IFERROR(E16*(F16/-105),"")</f>
        <v/>
      </c>
      <c r="H16">
        <f>IFERROR((C16-D16)+E16,"")</f>
        <v/>
      </c>
      <c r="I16" t="n">
        <v>47</v>
      </c>
      <c r="J16">
        <f>IFERROR(I16/2-E16/2,"")</f>
        <v/>
      </c>
      <c r="K16">
        <f>IFERROR(C16-J16,"")</f>
        <v/>
      </c>
      <c r="L16">
        <f>IFERROR(I16/2+E16/2,"")</f>
        <v/>
      </c>
      <c r="M16">
        <f>IFERROR(D16-L16,"")</f>
        <v/>
      </c>
      <c r="N16">
        <f>IFERROR((C16-D16)+G16,"")</f>
        <v/>
      </c>
      <c r="O16">
        <f>IFERROR(I16/2-G16/2,"")</f>
        <v/>
      </c>
      <c r="P16">
        <f>IFERROR(C16-O16,"")</f>
        <v/>
      </c>
      <c r="Q16">
        <f>IFERROR(I16/2+G16/2,"")</f>
        <v/>
      </c>
      <c r="R16">
        <f>IFERROR(D16-Q16,"")</f>
        <v/>
      </c>
      <c r="S16" t="n">
        <v>-3636</v>
      </c>
      <c r="T16">
        <f>IFERROR(IF(S16&gt;0,100/(100+S16),ABS(S16)/(100+ABS(S16))),"")</f>
        <v/>
      </c>
    </row>
    <row r="18">
      <c r="A18" s="3" t="inlineStr">
        <is>
          <t>Net</t>
        </is>
      </c>
      <c r="C18">
        <f>SUM(C4:C16)</f>
        <v/>
      </c>
      <c r="D18">
        <f>SUM(D4:D16)</f>
        <v/>
      </c>
      <c r="E18">
        <f>SUM(E4:E16)</f>
        <v/>
      </c>
      <c r="F18">
        <f>SUM(F4:F16)</f>
        <v/>
      </c>
      <c r="G18">
        <f>SUM(G4:G16)</f>
        <v/>
      </c>
      <c r="H18">
        <f>SUM(H4:H16)</f>
        <v/>
      </c>
      <c r="I18">
        <f>SUM(I4:I16)</f>
        <v/>
      </c>
      <c r="J18">
        <f>SUM(J4:J16)</f>
        <v/>
      </c>
      <c r="K18">
        <f>SUM(K4:K16)</f>
        <v/>
      </c>
      <c r="L18">
        <f>SUM(L4:L16)</f>
        <v/>
      </c>
      <c r="M18">
        <f>SUM(M4:M16)</f>
        <v/>
      </c>
      <c r="N18">
        <f>SUM(N4:N16)</f>
        <v/>
      </c>
      <c r="O18">
        <f>SUM(O4:O16)</f>
        <v/>
      </c>
      <c r="P18">
        <f>SUM(P4:P16)</f>
        <v/>
      </c>
      <c r="Q18">
        <f>SUM(Q4:Q16)</f>
        <v/>
      </c>
      <c r="R18">
        <f>SUM(R4:R16)</f>
        <v/>
      </c>
      <c r="S18">
        <f>SUM(S4:S16)</f>
        <v/>
      </c>
      <c r="T18">
        <f>SUM(T4:T16)</f>
        <v/>
      </c>
    </row>
    <row r="19">
      <c r="A19" s="3" t="inlineStr">
        <is>
          <t>Average</t>
        </is>
      </c>
      <c r="C19">
        <f>IFERROR(AVERAGE(C4:C16),"")</f>
        <v/>
      </c>
      <c r="D19">
        <f>IFERROR(AVERAGE(D4:D16),"")</f>
        <v/>
      </c>
      <c r="E19">
        <f>IFERROR(AVERAGE(E4:E16),"")</f>
        <v/>
      </c>
      <c r="F19">
        <f>IFERROR(AVERAGE(F4:F16),"")</f>
        <v/>
      </c>
      <c r="G19">
        <f>IFERROR(AVERAGE(G4:G16),"")</f>
        <v/>
      </c>
      <c r="H19">
        <f>IFERROR(AVERAGE(H4:H16),"")</f>
        <v/>
      </c>
      <c r="I19">
        <f>IFERROR(AVERAGE(I4:I16),"")</f>
        <v/>
      </c>
      <c r="J19">
        <f>IFERROR(AVERAGE(J4:J16),"")</f>
        <v/>
      </c>
      <c r="K19">
        <f>IFERROR(AVERAGE(K4:K16),"")</f>
        <v/>
      </c>
      <c r="L19">
        <f>IFERROR(AVERAGE(L4:L16),"")</f>
        <v/>
      </c>
      <c r="M19">
        <f>IFERROR(AVERAGE(M4:M16),"")</f>
        <v/>
      </c>
      <c r="N19">
        <f>IFERROR(AVERAGE(N4:N16),"")</f>
        <v/>
      </c>
      <c r="O19">
        <f>IFERROR(AVERAGE(O4:O16),"")</f>
        <v/>
      </c>
      <c r="P19">
        <f>IFERROR(AVERAGE(P4:P16),"")</f>
        <v/>
      </c>
      <c r="Q19">
        <f>IFERROR(AVERAGE(Q4:Q16),"")</f>
        <v/>
      </c>
      <c r="R19">
        <f>IFERROR(AVERAGE(R4:R16),"")</f>
        <v/>
      </c>
      <c r="S19">
        <f>IFERROR(AVERAGE(S4:S16),"")</f>
        <v/>
      </c>
      <c r="T19">
        <f>IFERROR(AVERAGE(T4:T16),"")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20</t>
        </is>
      </c>
      <c r="B1" s="1" t="inlineStr">
        <is>
          <t>Final Ranking Coaches Poll:</t>
        </is>
      </c>
      <c r="C1" s="1" t="inlineStr">
        <is>
          <t>Playoffs: No</t>
        </is>
      </c>
      <c r="D1" s="1" t="inlineStr">
        <is>
          <t>Conference: ACC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>
        <is>
          <t>Coastal Carolina</t>
        </is>
      </c>
      <c r="C4" t="n">
        <v>48</v>
      </c>
      <c r="D4" t="n">
        <v>7</v>
      </c>
      <c r="E4" t="n">
        <v>-13.5</v>
      </c>
      <c r="F4" t="n">
        <v>-110</v>
      </c>
      <c r="G4">
        <f>IFERROR(E4*(F4/-105),"")</f>
        <v/>
      </c>
      <c r="H4">
        <f>IFERROR((C4-D4)+E4,"")</f>
        <v/>
      </c>
      <c r="I4" t="n">
        <v>54.5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S4" t="n">
        <v>-503</v>
      </c>
      <c r="T4">
        <f>IFERROR(IF(S4&gt;0,100/(100+S4),ABS(S4)/(100+ABS(S4))),"")</f>
        <v/>
      </c>
    </row>
    <row r="5">
      <c r="A5" t="n">
        <v>2</v>
      </c>
      <c r="B5" t="inlineStr">
        <is>
          <t>North Carolina State</t>
        </is>
      </c>
      <c r="C5" t="n">
        <v>31</v>
      </c>
      <c r="D5" t="n">
        <v>35</v>
      </c>
      <c r="E5" t="n">
        <v>3</v>
      </c>
      <c r="F5" t="n">
        <v>-115</v>
      </c>
      <c r="G5">
        <f>IFERROR(E5*(F5/-105),"")</f>
        <v/>
      </c>
      <c r="H5">
        <f>IFERROR((C5-D5)+E5,"")</f>
        <v/>
      </c>
      <c r="I5" t="n">
        <v>53.5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S5" t="n">
        <v>126</v>
      </c>
      <c r="T5">
        <f>IFERROR(IF(S5&gt;0,100/(100+S5),ABS(S5)/(100+ABS(S5))),"")</f>
        <v/>
      </c>
    </row>
    <row r="6">
      <c r="A6" t="n">
        <v>3</v>
      </c>
      <c r="B6" t="inlineStr">
        <is>
          <t>William &amp; Mary</t>
        </is>
      </c>
      <c r="C6" t="n">
        <v>55</v>
      </c>
      <c r="D6" t="n">
        <v>16</v>
      </c>
      <c r="E6" t="n">
        <v>-31</v>
      </c>
      <c r="F6" t="n">
        <v>-111</v>
      </c>
      <c r="G6">
        <f>IFERROR(E6*(F6/-105),"")</f>
        <v/>
      </c>
      <c r="H6">
        <f>IFERROR((C6-D6)+E6,"")</f>
        <v/>
      </c>
      <c r="I6" t="n">
        <v>53.5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S6" t="n">
        <v>-5833</v>
      </c>
      <c r="T6">
        <f>IFERROR(IF(S6&gt;0,100/(100+S6),ABS(S6)/(100+ABS(S6))),"")</f>
        <v/>
      </c>
    </row>
    <row r="7">
      <c r="A7" t="n">
        <v>4</v>
      </c>
      <c r="B7" t="inlineStr">
        <is>
          <t>Stanford</t>
        </is>
      </c>
      <c r="C7" t="n">
        <v>48</v>
      </c>
      <c r="D7" t="n">
        <v>20</v>
      </c>
      <c r="E7" t="n">
        <v>-16.5</v>
      </c>
      <c r="F7" t="n">
        <v>-111</v>
      </c>
      <c r="G7">
        <f>IFERROR(E7*(F7/-105),"")</f>
        <v/>
      </c>
      <c r="H7">
        <f>IFERROR((C7-D7)+E7,"")</f>
        <v/>
      </c>
      <c r="I7" t="n">
        <v>48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S7" t="n">
        <v>-783</v>
      </c>
      <c r="T7">
        <f>IFERROR(IF(S7&gt;0,100/(100+S7),ABS(S7)/(100+ABS(S7))),"")</f>
        <v/>
      </c>
    </row>
    <row r="8">
      <c r="A8" t="n">
        <v>5</v>
      </c>
      <c r="B8" t="inlineStr">
        <is>
          <t>Florida State</t>
        </is>
      </c>
      <c r="C8" t="n">
        <v>46</v>
      </c>
      <c r="D8" t="n">
        <v>38</v>
      </c>
      <c r="E8" t="n">
        <v>7</v>
      </c>
      <c r="F8" t="n">
        <v>-111</v>
      </c>
      <c r="G8">
        <f>IFERROR(E8*(F8/-105),"")</f>
        <v/>
      </c>
      <c r="H8">
        <f>IFERROR((C8-D8)+E8,"")</f>
        <v/>
      </c>
      <c r="I8" t="n">
        <v>60.5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S8" t="n">
        <v>223</v>
      </c>
      <c r="T8">
        <f>IFERROR(IF(S8&gt;0,100/(100+S8),ABS(S8)/(100+ABS(S8))),"")</f>
        <v/>
      </c>
    </row>
    <row r="9">
      <c r="A9" t="n">
        <v>6</v>
      </c>
      <c r="B9" t="inlineStr">
        <is>
          <t>Louisville</t>
        </is>
      </c>
      <c r="C9" t="n">
        <v>30</v>
      </c>
      <c r="D9" t="n">
        <v>27</v>
      </c>
      <c r="E9" t="n">
        <v>6.5</v>
      </c>
      <c r="F9" t="n">
        <v>-108</v>
      </c>
      <c r="G9">
        <f>IFERROR(E9*(F9/-105),"")</f>
        <v/>
      </c>
      <c r="H9">
        <f>IFERROR((C9-D9)+E9,"")</f>
        <v/>
      </c>
      <c r="I9" t="n">
        <v>60.5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S9" t="n">
        <v>193</v>
      </c>
      <c r="T9">
        <f>IFERROR(IF(S9&gt;0,100/(100+S9),ABS(S9)/(100+ABS(S9))),"")</f>
        <v/>
      </c>
    </row>
    <row r="10">
      <c r="A10" t="n">
        <v>8</v>
      </c>
      <c r="B10" t="inlineStr">
        <is>
          <t>Washington State</t>
        </is>
      </c>
      <c r="C10" t="n">
        <v>22</v>
      </c>
      <c r="D10" t="n">
        <v>20</v>
      </c>
      <c r="E10" t="n">
        <v>-15.5</v>
      </c>
      <c r="F10" t="n">
        <v>-115</v>
      </c>
      <c r="G10">
        <f>IFERROR(E10*(F10/-105),"")</f>
        <v/>
      </c>
      <c r="H10">
        <f>IFERROR((C10-D10)+E10,"")</f>
        <v/>
      </c>
      <c r="I10" t="n">
        <v>57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S10" t="n">
        <v>-895</v>
      </c>
      <c r="T10">
        <f>IFERROR(IF(S10&gt;0,100/(100+S10),ABS(S10)/(100+ABS(S10))),"")</f>
        <v/>
      </c>
    </row>
    <row r="11">
      <c r="A11" t="n">
        <v>9</v>
      </c>
      <c r="B11" t="inlineStr">
        <is>
          <t>North Carolina</t>
        </is>
      </c>
      <c r="C11" t="n">
        <v>17</v>
      </c>
      <c r="D11" t="n">
        <v>16</v>
      </c>
      <c r="E11" t="n">
        <v>-11.5</v>
      </c>
      <c r="F11" t="n">
        <v>-112</v>
      </c>
      <c r="G11">
        <f>IFERROR(E11*(F11/-105),"")</f>
        <v/>
      </c>
      <c r="H11">
        <f>IFERROR((C11-D11)+E11,"")</f>
        <v/>
      </c>
      <c r="I11" t="n">
        <v>51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S11" t="n">
        <v>-436</v>
      </c>
      <c r="T11">
        <f>IFERROR(IF(S11&gt;0,100/(100+S11),ABS(S11)/(100+ABS(S11))),"")</f>
        <v/>
      </c>
    </row>
    <row r="12">
      <c r="A12" t="n">
        <v>10</v>
      </c>
      <c r="B12" t="inlineStr">
        <is>
          <t>California</t>
        </is>
      </c>
      <c r="C12" t="n">
        <v>31</v>
      </c>
      <c r="D12" t="n">
        <v>21</v>
      </c>
      <c r="E12" t="n">
        <v>-6</v>
      </c>
      <c r="F12" t="n">
        <v>-111</v>
      </c>
      <c r="G12">
        <f>IFERROR(E12*(F12/-105),"")</f>
        <v/>
      </c>
      <c r="H12">
        <f>IFERROR((C12-D12)+E12,"")</f>
        <v/>
      </c>
      <c r="I12" t="n">
        <v>52.5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-219</v>
      </c>
      <c r="T12">
        <f>IFERROR(IF(S12&gt;0,100/(100+S12),ABS(S12)/(100+ABS(S12))),"")</f>
        <v/>
      </c>
    </row>
    <row r="13">
      <c r="A13" t="n">
        <v>11</v>
      </c>
      <c r="B13" t="inlineStr">
        <is>
          <t>Wake Forest</t>
        </is>
      </c>
      <c r="C13" t="n">
        <v>9</v>
      </c>
      <c r="D13" t="n">
        <v>16</v>
      </c>
      <c r="E13" t="n">
        <v>-7</v>
      </c>
      <c r="F13" t="n">
        <v>-105</v>
      </c>
      <c r="G13">
        <f>IFERROR(E13*(F13/-105),"")</f>
        <v/>
      </c>
      <c r="H13">
        <f>IFERROR((C13-D13)+E13,"")</f>
        <v/>
      </c>
      <c r="I13" t="n">
        <v>48.5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S13" t="n">
        <v>-245</v>
      </c>
      <c r="T13">
        <f>IFERROR(IF(S13&gt;0,100/(100+S13),ABS(S13)/(100+ABS(S13))),"")</f>
        <v/>
      </c>
    </row>
    <row r="14">
      <c r="A14" t="n">
        <v>12</v>
      </c>
      <c r="B14" t="inlineStr">
        <is>
          <t>Duke</t>
        </is>
      </c>
      <c r="C14" t="n">
        <v>34</v>
      </c>
      <c r="D14" t="n">
        <v>17</v>
      </c>
      <c r="E14" t="n">
        <v>5.5</v>
      </c>
      <c r="F14" t="n">
        <v>-115</v>
      </c>
      <c r="G14">
        <f>IFERROR(E14*(F14/-105),"")</f>
        <v/>
      </c>
      <c r="H14">
        <f>IFERROR((C14-D14)+E14,"")</f>
        <v/>
      </c>
      <c r="I14" t="n">
        <v>59.5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S14" t="n">
        <v>166</v>
      </c>
      <c r="T14">
        <f>IFERROR(IF(S14&gt;0,100/(100+S14),ABS(S14)/(100+ABS(S14))),"")</f>
        <v/>
      </c>
    </row>
    <row r="15">
      <c r="A15" t="n">
        <v>14</v>
      </c>
      <c r="B15" t="inlineStr">
        <is>
          <t>Virginia Tech</t>
        </is>
      </c>
      <c r="C15" t="n">
        <v>27</v>
      </c>
      <c r="D15" t="n">
        <v>7</v>
      </c>
      <c r="E15" t="n">
        <v>-8.5</v>
      </c>
      <c r="F15" t="n">
        <v>-110</v>
      </c>
      <c r="G15">
        <f>IFERROR(E15*(F15/-105),"")</f>
        <v/>
      </c>
      <c r="H15">
        <f>IFERROR((C15-D15)+E15,"")</f>
        <v/>
      </c>
      <c r="I15" t="n">
        <v>52.5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-346</v>
      </c>
      <c r="T15">
        <f>IFERROR(IF(S15&gt;0,100/(100+S15),ABS(S15)/(100+ABS(S15))),"")</f>
        <v/>
      </c>
    </row>
    <row r="16">
      <c r="A16" t="n">
        <v>15</v>
      </c>
      <c r="B16" t="inlineStr">
        <is>
          <t>Duke</t>
        </is>
      </c>
      <c r="C16" t="n">
        <v>20</v>
      </c>
      <c r="D16" t="n">
        <v>27</v>
      </c>
      <c r="E16" t="n">
        <v>-3.5</v>
      </c>
      <c r="F16" t="n">
        <v>-109</v>
      </c>
      <c r="G16">
        <f>IFERROR(E16*(F16/-105),"")</f>
        <v/>
      </c>
      <c r="H16">
        <f>IFERROR((C16-D16)+E16,"")</f>
        <v/>
      </c>
      <c r="I16" t="n">
        <v>58.5</v>
      </c>
      <c r="J16">
        <f>IFERROR(I16/2-E16/2,"")</f>
        <v/>
      </c>
      <c r="K16">
        <f>IFERROR(C16-J16,"")</f>
        <v/>
      </c>
      <c r="L16">
        <f>IFERROR(I16/2+E16/2,"")</f>
        <v/>
      </c>
      <c r="M16">
        <f>IFERROR(D16-L16,"")</f>
        <v/>
      </c>
      <c r="N16">
        <f>IFERROR((C16-D16)+G16,"")</f>
        <v/>
      </c>
      <c r="O16">
        <f>IFERROR(I16/2-G16/2,"")</f>
        <v/>
      </c>
      <c r="P16">
        <f>IFERROR(C16-O16,"")</f>
        <v/>
      </c>
      <c r="Q16">
        <f>IFERROR(I16/2+G16/2,"")</f>
        <v/>
      </c>
      <c r="R16">
        <f>IFERROR(D16-Q16,"")</f>
        <v/>
      </c>
      <c r="S16" t="n">
        <v>-179</v>
      </c>
      <c r="T16">
        <f>IFERROR(IF(S16&gt;0,100/(100+S16),ABS(S16)/(100+ABS(S16))),"")</f>
        <v/>
      </c>
    </row>
    <row r="18">
      <c r="A18" s="3" t="inlineStr">
        <is>
          <t>Net</t>
        </is>
      </c>
      <c r="C18">
        <f>SUM(C4:C16)</f>
        <v/>
      </c>
      <c r="D18">
        <f>SUM(D4:D16)</f>
        <v/>
      </c>
      <c r="E18">
        <f>SUM(E4:E16)</f>
        <v/>
      </c>
      <c r="F18">
        <f>SUM(F4:F16)</f>
        <v/>
      </c>
      <c r="G18">
        <f>SUM(G4:G16)</f>
        <v/>
      </c>
      <c r="H18">
        <f>SUM(H4:H16)</f>
        <v/>
      </c>
      <c r="I18">
        <f>SUM(I4:I16)</f>
        <v/>
      </c>
      <c r="J18">
        <f>SUM(J4:J16)</f>
        <v/>
      </c>
      <c r="K18">
        <f>SUM(K4:K16)</f>
        <v/>
      </c>
      <c r="L18">
        <f>SUM(L4:L16)</f>
        <v/>
      </c>
      <c r="M18">
        <f>SUM(M4:M16)</f>
        <v/>
      </c>
      <c r="N18">
        <f>SUM(N4:N16)</f>
        <v/>
      </c>
      <c r="O18">
        <f>SUM(O4:O16)</f>
        <v/>
      </c>
      <c r="P18">
        <f>SUM(P4:P16)</f>
        <v/>
      </c>
      <c r="Q18">
        <f>SUM(Q4:Q16)</f>
        <v/>
      </c>
      <c r="R18">
        <f>SUM(R4:R16)</f>
        <v/>
      </c>
      <c r="S18">
        <f>SUM(S4:S16)</f>
        <v/>
      </c>
      <c r="T18">
        <f>SUM(T4:T16)</f>
        <v/>
      </c>
    </row>
    <row r="19">
      <c r="A19" s="3" t="inlineStr">
        <is>
          <t>Average</t>
        </is>
      </c>
      <c r="C19">
        <f>IFERROR(AVERAGE(C4:C16),"")</f>
        <v/>
      </c>
      <c r="D19">
        <f>IFERROR(AVERAGE(D4:D16),"")</f>
        <v/>
      </c>
      <c r="E19">
        <f>IFERROR(AVERAGE(E4:E16),"")</f>
        <v/>
      </c>
      <c r="F19">
        <f>IFERROR(AVERAGE(F4:F16),"")</f>
        <v/>
      </c>
      <c r="G19">
        <f>IFERROR(AVERAGE(G4:G16),"")</f>
        <v/>
      </c>
      <c r="H19">
        <f>IFERROR(AVERAGE(H4:H16),"")</f>
        <v/>
      </c>
      <c r="I19">
        <f>IFERROR(AVERAGE(I4:I16),"")</f>
        <v/>
      </c>
      <c r="J19">
        <f>IFERROR(AVERAGE(J4:J16),"")</f>
        <v/>
      </c>
      <c r="K19">
        <f>IFERROR(AVERAGE(K4:K16),"")</f>
        <v/>
      </c>
      <c r="L19">
        <f>IFERROR(AVERAGE(L4:L16),"")</f>
        <v/>
      </c>
      <c r="M19">
        <f>IFERROR(AVERAGE(M4:M16),"")</f>
        <v/>
      </c>
      <c r="N19">
        <f>IFERROR(AVERAGE(N4:N16),"")</f>
        <v/>
      </c>
      <c r="O19">
        <f>IFERROR(AVERAGE(O4:O16),"")</f>
        <v/>
      </c>
      <c r="P19">
        <f>IFERROR(AVERAGE(P4:P16),"")</f>
        <v/>
      </c>
      <c r="Q19">
        <f>IFERROR(AVERAGE(Q4:Q16),"")</f>
        <v/>
      </c>
      <c r="R19">
        <f>IFERROR(AVERAGE(R4:R16),"")</f>
        <v/>
      </c>
      <c r="S19">
        <f>IFERROR(AVERAGE(S4:S16),"")</f>
        <v/>
      </c>
      <c r="T19">
        <f>IFERROR(AVERAGE(T4:T16),"")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21</t>
        </is>
      </c>
      <c r="B1" s="1" t="inlineStr">
        <is>
          <t>Final Ranking Coaches Poll:</t>
        </is>
      </c>
      <c r="C1" s="1" t="inlineStr">
        <is>
          <t>Playoffs: No</t>
        </is>
      </c>
      <c r="D1" s="1" t="inlineStr">
        <is>
          <t>Conference: BIG 12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>
        <is>
          <t>Hawaii</t>
        </is>
      </c>
      <c r="C4" t="n">
        <v>40</v>
      </c>
      <c r="D4" t="n">
        <v>6</v>
      </c>
      <c r="E4" t="n">
        <v>-15.5</v>
      </c>
      <c r="F4" t="n">
        <v>-111</v>
      </c>
      <c r="G4">
        <f>IFERROR(E4*(F4/-105),"")</f>
        <v/>
      </c>
      <c r="H4">
        <f>IFERROR((C4-D4)+E4,"")</f>
        <v/>
      </c>
      <c r="I4" t="n">
        <v>54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S4" t="n">
        <v>-694</v>
      </c>
      <c r="T4">
        <f>IFERROR(IF(S4&gt;0,100/(100+S4),ABS(S4)/(100+ABS(S4))),"")</f>
        <v/>
      </c>
    </row>
    <row r="5">
      <c r="A5" t="n">
        <v>2</v>
      </c>
      <c r="B5" t="inlineStr">
        <is>
          <t>Weber State</t>
        </is>
      </c>
      <c r="C5" t="n">
        <v>48</v>
      </c>
      <c r="D5" t="n">
        <v>3</v>
      </c>
      <c r="E5" t="n">
        <v>-31.5</v>
      </c>
      <c r="F5" t="n">
        <v>-114</v>
      </c>
      <c r="G5">
        <f>IFERROR(E5*(F5/-105),"")</f>
        <v/>
      </c>
      <c r="H5">
        <f>IFERROR((C5-D5)+E5,"")</f>
        <v/>
      </c>
      <c r="I5" t="n">
        <v>56.5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T5">
        <f>IFERROR(IF(S5&gt;0,100/(100+S5),ABS(S5)/(100+ABS(S5))),"")</f>
        <v/>
      </c>
    </row>
    <row r="6">
      <c r="A6" t="n">
        <v>3</v>
      </c>
      <c r="B6" t="inlineStr">
        <is>
          <t>Kansas State</t>
        </is>
      </c>
      <c r="C6" t="n">
        <v>23</v>
      </c>
      <c r="D6" t="n">
        <v>17</v>
      </c>
      <c r="E6" t="n">
        <v>0</v>
      </c>
      <c r="F6" t="n">
        <v>-109</v>
      </c>
      <c r="G6">
        <f>IFERROR(E6*(F6/-105),"")</f>
        <v/>
      </c>
      <c r="H6">
        <f>IFERROR((C6-D6)+E6,"")</f>
        <v/>
      </c>
      <c r="I6" t="n">
        <v>56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S6" t="n">
        <v>-106</v>
      </c>
      <c r="T6">
        <f>IFERROR(IF(S6&gt;0,100/(100+S6),ABS(S6)/(100+ABS(S6))),"")</f>
        <v/>
      </c>
    </row>
    <row r="7">
      <c r="A7" t="n">
        <v>5</v>
      </c>
      <c r="B7" t="inlineStr">
        <is>
          <t>Iowa State</t>
        </is>
      </c>
      <c r="C7" t="n">
        <v>14</v>
      </c>
      <c r="D7" t="n">
        <v>39</v>
      </c>
      <c r="E7" t="n">
        <v>4</v>
      </c>
      <c r="F7" t="n">
        <v>-111</v>
      </c>
      <c r="G7">
        <f>IFERROR(E7*(F7/-105),"")</f>
        <v/>
      </c>
      <c r="H7">
        <f>IFERROR((C7-D7)+E7,"")</f>
        <v/>
      </c>
      <c r="I7" t="n">
        <v>48.5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S7" t="n">
        <v>151</v>
      </c>
      <c r="T7">
        <f>IFERROR(IF(S7&gt;0,100/(100+S7),ABS(S7)/(100+ABS(S7))),"")</f>
        <v/>
      </c>
    </row>
    <row r="8">
      <c r="A8" t="n">
        <v>6</v>
      </c>
      <c r="B8" t="inlineStr">
        <is>
          <t>Oklahoma State</t>
        </is>
      </c>
      <c r="C8" t="n">
        <v>41</v>
      </c>
      <c r="D8" t="n">
        <v>13</v>
      </c>
      <c r="E8" t="n">
        <v>-21.5</v>
      </c>
      <c r="F8" t="n">
        <v>-110</v>
      </c>
      <c r="G8">
        <f>IFERROR(E8*(F8/-105),"")</f>
        <v/>
      </c>
      <c r="H8">
        <f>IFERROR((C8-D8)+E8,"")</f>
        <v/>
      </c>
      <c r="I8" t="n">
        <v>56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S8" t="n">
        <v>-1706</v>
      </c>
      <c r="T8">
        <f>IFERROR(IF(S8&gt;0,100/(100+S8),ABS(S8)/(100+ABS(S8))),"")</f>
        <v/>
      </c>
    </row>
    <row r="9">
      <c r="A9" t="n">
        <v>7</v>
      </c>
      <c r="B9" t="inlineStr">
        <is>
          <t>BYU</t>
        </is>
      </c>
      <c r="C9" t="n">
        <v>27</v>
      </c>
      <c r="D9" t="n">
        <v>33</v>
      </c>
      <c r="E9" t="n">
        <v>2.5</v>
      </c>
      <c r="F9" t="n">
        <v>-106</v>
      </c>
      <c r="G9">
        <f>IFERROR(E9*(F9/-105),"")</f>
        <v/>
      </c>
      <c r="H9">
        <f>IFERROR((C9-D9)+E9,"")</f>
        <v/>
      </c>
      <c r="I9" t="n">
        <v>46.5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S9" t="n">
        <v>116</v>
      </c>
      <c r="T9">
        <f>IFERROR(IF(S9&gt;0,100/(100+S9),ABS(S9)/(100+ABS(S9))),"")</f>
        <v/>
      </c>
    </row>
    <row r="10">
      <c r="A10" t="n">
        <v>8</v>
      </c>
      <c r="B10" t="inlineStr">
        <is>
          <t>Houston</t>
        </is>
      </c>
      <c r="C10" t="n">
        <v>28</v>
      </c>
      <c r="D10" t="n">
        <v>31</v>
      </c>
      <c r="E10" t="n">
        <v>-1.5</v>
      </c>
      <c r="F10" t="n">
        <v>-112</v>
      </c>
      <c r="G10">
        <f>IFERROR(E10*(F10/-105),"")</f>
        <v/>
      </c>
      <c r="H10">
        <f>IFERROR((C10-D10)+E10,"")</f>
        <v/>
      </c>
      <c r="I10" t="n">
        <v>47.5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S10" t="n">
        <v>-125</v>
      </c>
      <c r="T10">
        <f>IFERROR(IF(S10&gt;0,100/(100+S10),ABS(S10)/(100+ABS(S10))),"")</f>
        <v/>
      </c>
    </row>
    <row r="11">
      <c r="A11" t="n">
        <v>10</v>
      </c>
      <c r="B11" t="inlineStr">
        <is>
          <t>Colorado</t>
        </is>
      </c>
      <c r="C11" t="n">
        <v>52</v>
      </c>
      <c r="D11" t="n">
        <v>17</v>
      </c>
      <c r="E11" t="n">
        <v>-4</v>
      </c>
      <c r="F11" t="n">
        <v>-112</v>
      </c>
      <c r="G11">
        <f>IFERROR(E11*(F11/-105),"")</f>
        <v/>
      </c>
      <c r="H11">
        <f>IFERROR((C11-D11)+E11,"")</f>
        <v/>
      </c>
      <c r="I11" t="n">
        <v>52.5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S11" t="n">
        <v>-182</v>
      </c>
      <c r="T11">
        <f>IFERROR(IF(S11&gt;0,100/(100+S11),ABS(S11)/(100+ABS(S11))),"")</f>
        <v/>
      </c>
    </row>
    <row r="12">
      <c r="A12" t="n">
        <v>11</v>
      </c>
      <c r="B12" t="inlineStr">
        <is>
          <t>Kansas</t>
        </is>
      </c>
      <c r="C12" t="n">
        <v>24</v>
      </c>
      <c r="D12" t="n">
        <v>20</v>
      </c>
      <c r="E12" t="n">
        <v>-5</v>
      </c>
      <c r="F12" t="n">
        <v>-110</v>
      </c>
      <c r="G12">
        <f>IFERROR(E12*(F12/-105),"")</f>
        <v/>
      </c>
      <c r="H12">
        <f>IFERROR((C12-D12)+E12,"")</f>
        <v/>
      </c>
      <c r="I12" t="n">
        <v>56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-211</v>
      </c>
      <c r="T12">
        <f>IFERROR(IF(S12&gt;0,100/(100+S12),ABS(S12)/(100+ABS(S12))),"")</f>
        <v/>
      </c>
    </row>
    <row r="13">
      <c r="A13" t="n">
        <v>12</v>
      </c>
      <c r="B13" t="inlineStr">
        <is>
          <t>Cincinnati</t>
        </is>
      </c>
      <c r="C13" t="n">
        <v>30</v>
      </c>
      <c r="D13" t="n">
        <v>24</v>
      </c>
      <c r="E13" t="n">
        <v>5.5</v>
      </c>
      <c r="F13" t="n">
        <v>-109</v>
      </c>
      <c r="G13">
        <f>IFERROR(E13*(F13/-105),"")</f>
        <v/>
      </c>
      <c r="H13">
        <f>IFERROR((C13-D13)+E13,"")</f>
        <v/>
      </c>
      <c r="I13" t="n">
        <v>56.5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S13" t="n">
        <v>167</v>
      </c>
      <c r="T13">
        <f>IFERROR(IF(S13&gt;0,100/(100+S13),ABS(S13)/(100+ABS(S13))),"")</f>
        <v/>
      </c>
    </row>
    <row r="14">
      <c r="A14" t="n">
        <v>13</v>
      </c>
      <c r="B14" t="inlineStr">
        <is>
          <t>Baylor</t>
        </is>
      </c>
      <c r="C14" t="n">
        <v>41</v>
      </c>
      <c r="D14" t="n">
        <v>17</v>
      </c>
      <c r="E14" t="n">
        <v>-6.5</v>
      </c>
      <c r="F14" t="n">
        <v>-113</v>
      </c>
      <c r="G14">
        <f>IFERROR(E14*(F14/-105),"")</f>
        <v/>
      </c>
      <c r="H14">
        <f>IFERROR((C14-D14)+E14,"")</f>
        <v/>
      </c>
      <c r="I14" t="n">
        <v>61.5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S14" t="n">
        <v>-236</v>
      </c>
      <c r="T14">
        <f>IFERROR(IF(S14&gt;0,100/(100+S14),ABS(S14)/(100+ABS(S14))),"")</f>
        <v/>
      </c>
    </row>
    <row r="15">
      <c r="A15" t="n">
        <v>14</v>
      </c>
      <c r="B15" t="inlineStr">
        <is>
          <t>Arizona State</t>
        </is>
      </c>
      <c r="C15" t="n">
        <v>23</v>
      </c>
      <c r="D15" t="n">
        <v>7</v>
      </c>
      <c r="E15" t="n">
        <v>-2</v>
      </c>
      <c r="F15" t="n">
        <v>-110</v>
      </c>
      <c r="G15">
        <f>IFERROR(E15*(F15/-105),"")</f>
        <v/>
      </c>
      <c r="H15">
        <f>IFERROR((C15-D15)+E15,"")</f>
        <v/>
      </c>
      <c r="I15" t="n">
        <v>48.5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-126</v>
      </c>
      <c r="T15">
        <f>IFERROR(IF(S15&gt;0,100/(100+S15),ABS(S15)/(100+ABS(S15))),"")</f>
        <v/>
      </c>
    </row>
    <row r="17">
      <c r="A17" s="3" t="inlineStr">
        <is>
          <t>Net</t>
        </is>
      </c>
      <c r="C17">
        <f>SUM(C4:C15)</f>
        <v/>
      </c>
      <c r="D17">
        <f>SUM(D4:D15)</f>
        <v/>
      </c>
      <c r="E17">
        <f>SUM(E4:E15)</f>
        <v/>
      </c>
      <c r="F17">
        <f>SUM(F4:F15)</f>
        <v/>
      </c>
      <c r="G17">
        <f>SUM(G4:G15)</f>
        <v/>
      </c>
      <c r="H17">
        <f>SUM(H4:H15)</f>
        <v/>
      </c>
      <c r="I17">
        <f>SUM(I4:I15)</f>
        <v/>
      </c>
      <c r="J17">
        <f>SUM(J4:J15)</f>
        <v/>
      </c>
      <c r="K17">
        <f>SUM(K4:K15)</f>
        <v/>
      </c>
      <c r="L17">
        <f>SUM(L4:L15)</f>
        <v/>
      </c>
      <c r="M17">
        <f>SUM(M4:M15)</f>
        <v/>
      </c>
      <c r="N17">
        <f>SUM(N4:N15)</f>
        <v/>
      </c>
      <c r="O17">
        <f>SUM(O4:O15)</f>
        <v/>
      </c>
      <c r="P17">
        <f>SUM(P4:P15)</f>
        <v/>
      </c>
      <c r="Q17">
        <f>SUM(Q4:Q15)</f>
        <v/>
      </c>
      <c r="R17">
        <f>SUM(R4:R15)</f>
        <v/>
      </c>
      <c r="S17">
        <f>SUM(S4:S15)</f>
        <v/>
      </c>
      <c r="T17">
        <f>SUM(T4:T15)</f>
        <v/>
      </c>
    </row>
    <row r="18">
      <c r="A18" s="3" t="inlineStr">
        <is>
          <t>Average</t>
        </is>
      </c>
      <c r="C18">
        <f>IFERROR(AVERAGE(C4:C15),"")</f>
        <v/>
      </c>
      <c r="D18">
        <f>IFERROR(AVERAGE(D4:D15),"")</f>
        <v/>
      </c>
      <c r="E18">
        <f>IFERROR(AVERAGE(E4:E15),"")</f>
        <v/>
      </c>
      <c r="F18">
        <f>IFERROR(AVERAGE(F4:F15),"")</f>
        <v/>
      </c>
      <c r="G18">
        <f>IFERROR(AVERAGE(G4:G15),"")</f>
        <v/>
      </c>
      <c r="H18">
        <f>IFERROR(AVERAGE(H4:H15),"")</f>
        <v/>
      </c>
      <c r="I18">
        <f>IFERROR(AVERAGE(I4:I15),"")</f>
        <v/>
      </c>
      <c r="J18">
        <f>IFERROR(AVERAGE(J4:J15),"")</f>
        <v/>
      </c>
      <c r="K18">
        <f>IFERROR(AVERAGE(K4:K15),"")</f>
        <v/>
      </c>
      <c r="L18">
        <f>IFERROR(AVERAGE(L4:L15),"")</f>
        <v/>
      </c>
      <c r="M18">
        <f>IFERROR(AVERAGE(M4:M15),"")</f>
        <v/>
      </c>
      <c r="N18">
        <f>IFERROR(AVERAGE(N4:N15),"")</f>
        <v/>
      </c>
      <c r="O18">
        <f>IFERROR(AVERAGE(O4:O15),"")</f>
        <v/>
      </c>
      <c r="P18">
        <f>IFERROR(AVERAGE(P4:P15),"")</f>
        <v/>
      </c>
      <c r="Q18">
        <f>IFERROR(AVERAGE(Q4:Q15),"")</f>
        <v/>
      </c>
      <c r="R18">
        <f>IFERROR(AVERAGE(R4:R15),"")</f>
        <v/>
      </c>
      <c r="S18">
        <f>IFERROR(AVERAGE(S4:S15),"")</f>
        <v/>
      </c>
      <c r="T18">
        <f>IFERROR(AVERAGE(T4:T15),"")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22</t>
        </is>
      </c>
      <c r="B1" s="1" t="inlineStr">
        <is>
          <t>Final Ranking Coaches Poll:</t>
        </is>
      </c>
      <c r="C1" s="1" t="inlineStr">
        <is>
          <t>Playoffs: No</t>
        </is>
      </c>
      <c r="D1" s="1" t="inlineStr">
        <is>
          <t>Conference: American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/>
      <c r="C4" t="n">
        <v>52</v>
      </c>
      <c r="D4" t="n">
        <v>7</v>
      </c>
      <c r="E4" t="n">
        <v>-42</v>
      </c>
      <c r="F4" t="n">
        <v>-111</v>
      </c>
      <c r="G4">
        <f>IFERROR(E4*(F4/-105),"")</f>
        <v/>
      </c>
      <c r="H4">
        <f>IFERROR((C4-D4)+E4,"")</f>
        <v/>
      </c>
      <c r="I4" t="n">
        <v>52.5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T4">
        <f>IFERROR(IF(S4&gt;0,100/(100+S4),ABS(S4)/(100+ABS(S4))),"")</f>
        <v/>
      </c>
    </row>
    <row r="5">
      <c r="A5" t="n">
        <v>2</v>
      </c>
      <c r="B5" t="inlineStr">
        <is>
          <t>UAB</t>
        </is>
      </c>
      <c r="C5" t="n">
        <v>38</v>
      </c>
      <c r="D5" t="n">
        <v>24</v>
      </c>
      <c r="E5" t="n">
        <v>-20.5</v>
      </c>
      <c r="F5" t="n">
        <v>-113</v>
      </c>
      <c r="G5">
        <f>IFERROR(E5*(F5/-105),"")</f>
        <v/>
      </c>
      <c r="H5">
        <f>IFERROR((C5-D5)+E5,"")</f>
        <v/>
      </c>
      <c r="I5" t="n">
        <v>59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S5" t="n">
        <v>-1604</v>
      </c>
      <c r="T5">
        <f>IFERROR(IF(S5&gt;0,100/(100+S5),ABS(S5)/(100+ABS(S5))),"")</f>
        <v/>
      </c>
    </row>
    <row r="6">
      <c r="A6" t="n">
        <v>3</v>
      </c>
      <c r="B6" t="inlineStr">
        <is>
          <t>Tulsa</t>
        </is>
      </c>
      <c r="C6" t="n">
        <v>42</v>
      </c>
      <c r="D6" t="n">
        <v>23</v>
      </c>
      <c r="E6" t="n">
        <v>-14</v>
      </c>
      <c r="F6" t="n">
        <v>-110</v>
      </c>
      <c r="G6">
        <f>IFERROR(E6*(F6/-105),"")</f>
        <v/>
      </c>
      <c r="H6">
        <f>IFERROR((C6-D6)+E6,"")</f>
        <v/>
      </c>
      <c r="I6" t="n">
        <v>52.5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S6" t="n">
        <v>-588</v>
      </c>
      <c r="T6">
        <f>IFERROR(IF(S6&gt;0,100/(100+S6),ABS(S6)/(100+ABS(S6))),"")</f>
        <v/>
      </c>
    </row>
    <row r="7">
      <c r="A7" t="n">
        <v>5</v>
      </c>
      <c r="B7" t="inlineStr">
        <is>
          <t>Rice</t>
        </is>
      </c>
      <c r="C7" t="n">
        <v>21</v>
      </c>
      <c r="D7" t="n">
        <v>13</v>
      </c>
      <c r="E7" t="n">
        <v>-14</v>
      </c>
      <c r="F7" t="n">
        <v>-110</v>
      </c>
      <c r="G7">
        <f>IFERROR(E7*(F7/-105),"")</f>
        <v/>
      </c>
      <c r="H7">
        <f>IFERROR((C7-D7)+E7,"")</f>
        <v/>
      </c>
      <c r="I7" t="n">
        <v>46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S7" t="n">
        <v>-579</v>
      </c>
      <c r="T7">
        <f>IFERROR(IF(S7&gt;0,100/(100+S7),ABS(S7)/(100+ABS(S7))),"")</f>
        <v/>
      </c>
    </row>
    <row r="8">
      <c r="A8" t="n">
        <v>6</v>
      </c>
      <c r="B8" t="inlineStr">
        <is>
          <t>Air Force</t>
        </is>
      </c>
      <c r="C8" t="n">
        <v>34</v>
      </c>
      <c r="D8" t="n">
        <v>31</v>
      </c>
      <c r="E8" t="n">
        <v>-13.5</v>
      </c>
      <c r="F8" t="n">
        <v>-112</v>
      </c>
      <c r="G8">
        <f>IFERROR(E8*(F8/-105),"")</f>
        <v/>
      </c>
      <c r="H8">
        <f>IFERROR((C8-D8)+E8,"")</f>
        <v/>
      </c>
      <c r="I8" t="n">
        <v>51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S8" t="n">
        <v>-494</v>
      </c>
      <c r="T8">
        <f>IFERROR(IF(S8&gt;0,100/(100+S8),ABS(S8)/(100+ABS(S8))),"")</f>
        <v/>
      </c>
    </row>
    <row r="9">
      <c r="A9" t="n">
        <v>7</v>
      </c>
      <c r="B9" t="inlineStr">
        <is>
          <t>Temple</t>
        </is>
      </c>
      <c r="C9" t="n">
        <v>32</v>
      </c>
      <c r="D9" t="n">
        <v>31</v>
      </c>
      <c r="E9" t="n">
        <v>-10</v>
      </c>
      <c r="F9" t="n">
        <v>-107</v>
      </c>
      <c r="G9">
        <f>IFERROR(E9*(F9/-105),"")</f>
        <v/>
      </c>
      <c r="H9">
        <f>IFERROR((C9-D9)+E9,"")</f>
        <v/>
      </c>
      <c r="I9" t="n">
        <v>52.5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S9" t="n">
        <v>-361</v>
      </c>
      <c r="T9">
        <f>IFERROR(IF(S9&gt;0,100/(100+S9),ABS(S9)/(100+ABS(S9))),"")</f>
        <v/>
      </c>
    </row>
    <row r="10">
      <c r="A10" t="n">
        <v>9</v>
      </c>
      <c r="B10" t="inlineStr">
        <is>
          <t>Florida Atlantic</t>
        </is>
      </c>
      <c r="C10" t="n">
        <v>42</v>
      </c>
      <c r="D10" t="n">
        <v>32</v>
      </c>
      <c r="E10" t="n">
        <v>-14</v>
      </c>
      <c r="F10" t="n">
        <v>-115</v>
      </c>
      <c r="G10">
        <f>IFERROR(E10*(F10/-105),"")</f>
        <v/>
      </c>
      <c r="H10">
        <f>IFERROR((C10-D10)+E10,"")</f>
        <v/>
      </c>
      <c r="I10" t="n">
        <v>63.5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S10" t="n">
        <v>-615</v>
      </c>
      <c r="T10">
        <f>IFERROR(IF(S10&gt;0,100/(100+S10),ABS(S10)/(100+ABS(S10))),"")</f>
        <v/>
      </c>
    </row>
    <row r="11">
      <c r="A11" t="n">
        <v>10</v>
      </c>
      <c r="B11" t="inlineStr">
        <is>
          <t>North Texas</t>
        </is>
      </c>
      <c r="C11" t="n">
        <v>17</v>
      </c>
      <c r="D11" t="n">
        <v>31</v>
      </c>
      <c r="E11" t="n">
        <v>6.5</v>
      </c>
      <c r="F11" t="n">
        <v>-104</v>
      </c>
      <c r="G11">
        <f>IFERROR(E11*(F11/-105),"")</f>
        <v/>
      </c>
      <c r="H11">
        <f>IFERROR((C11-D11)+E11,"")</f>
        <v/>
      </c>
      <c r="I11" t="n">
        <v>68.5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S11" t="n">
        <v>196</v>
      </c>
      <c r="T11">
        <f>IFERROR(IF(S11&gt;0,100/(100+S11),ABS(S11)/(100+ABS(S11))),"")</f>
        <v/>
      </c>
    </row>
    <row r="12">
      <c r="A12" t="n">
        <v>11</v>
      </c>
      <c r="B12" t="inlineStr">
        <is>
          <t>Notre Dame</t>
        </is>
      </c>
      <c r="C12" t="n">
        <v>10</v>
      </c>
      <c r="D12" t="n">
        <v>49</v>
      </c>
      <c r="E12" t="n">
        <v>31</v>
      </c>
      <c r="F12" t="n">
        <v>-113</v>
      </c>
      <c r="G12">
        <f>IFERROR(E12*(F12/-105),"")</f>
        <v/>
      </c>
      <c r="H12">
        <f>IFERROR((C12-D12)+E12,"")</f>
        <v/>
      </c>
      <c r="I12" t="n">
        <v>54.5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1913</v>
      </c>
      <c r="T12">
        <f>IFERROR(IF(S12&gt;0,100/(100+S12),ABS(S12)/(100+ABS(S12))),"")</f>
        <v/>
      </c>
    </row>
    <row r="13">
      <c r="A13" t="n">
        <v>12</v>
      </c>
      <c r="B13" t="inlineStr">
        <is>
          <t>South Florida</t>
        </is>
      </c>
      <c r="C13" t="n">
        <v>41</v>
      </c>
      <c r="D13" t="n">
        <v>38</v>
      </c>
      <c r="E13" t="n">
        <v>9.5</v>
      </c>
      <c r="F13" t="n">
        <v>-109</v>
      </c>
      <c r="G13">
        <f>IFERROR(E13*(F13/-105),"")</f>
        <v/>
      </c>
      <c r="H13">
        <f>IFERROR((C13-D13)+E13,"")</f>
        <v/>
      </c>
      <c r="I13" t="n">
        <v>62.5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S13" t="n">
        <v>280</v>
      </c>
      <c r="T13">
        <f>IFERROR(IF(S13&gt;0,100/(100+S13),ABS(S13)/(100+ABS(S13))),"")</f>
        <v/>
      </c>
    </row>
    <row r="14">
      <c r="A14" t="n">
        <v>14</v>
      </c>
      <c r="B14" t="inlineStr">
        <is>
          <t>Memphis</t>
        </is>
      </c>
      <c r="C14" t="n">
        <v>28</v>
      </c>
      <c r="D14" t="n">
        <v>17</v>
      </c>
      <c r="E14" t="n">
        <v>4</v>
      </c>
      <c r="F14" t="n">
        <v>-112</v>
      </c>
      <c r="G14">
        <f>IFERROR(E14*(F14/-105),"")</f>
        <v/>
      </c>
      <c r="H14">
        <f>IFERROR((C14-D14)+E14,"")</f>
        <v/>
      </c>
      <c r="I14" t="n">
        <v>58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S14" t="n">
        <v>145</v>
      </c>
      <c r="T14">
        <f>IFERROR(IF(S14&gt;0,100/(100+S14),ABS(S14)/(100+ABS(S14))),"")</f>
        <v/>
      </c>
    </row>
    <row r="15">
      <c r="A15" t="n">
        <v>16</v>
      </c>
      <c r="B15" t="inlineStr">
        <is>
          <t>Army</t>
        </is>
      </c>
      <c r="C15" t="n">
        <v>17</v>
      </c>
      <c r="D15" t="n">
        <v>16</v>
      </c>
      <c r="E15" t="n">
        <v>-6.5</v>
      </c>
      <c r="F15" t="n">
        <v>-109</v>
      </c>
      <c r="G15">
        <f>IFERROR(E15*(F15/-105),"")</f>
        <v/>
      </c>
      <c r="H15">
        <f>IFERROR((C15-D15)+E15,"")</f>
        <v/>
      </c>
      <c r="I15" t="n">
        <v>38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-251</v>
      </c>
      <c r="T15">
        <f>IFERROR(IF(S15&gt;0,100/(100+S15),ABS(S15)/(100+ABS(S15))),"")</f>
        <v/>
      </c>
    </row>
    <row r="17">
      <c r="A17" s="3" t="inlineStr">
        <is>
          <t>Net</t>
        </is>
      </c>
      <c r="C17">
        <f>SUM(C4:C15)</f>
        <v/>
      </c>
      <c r="D17">
        <f>SUM(D4:D15)</f>
        <v/>
      </c>
      <c r="E17">
        <f>SUM(E4:E15)</f>
        <v/>
      </c>
      <c r="F17">
        <f>SUM(F4:F15)</f>
        <v/>
      </c>
      <c r="G17">
        <f>SUM(G4:G15)</f>
        <v/>
      </c>
      <c r="H17">
        <f>SUM(H4:H15)</f>
        <v/>
      </c>
      <c r="I17">
        <f>SUM(I4:I15)</f>
        <v/>
      </c>
      <c r="J17">
        <f>SUM(J4:J15)</f>
        <v/>
      </c>
      <c r="K17">
        <f>SUM(K4:K15)</f>
        <v/>
      </c>
      <c r="L17">
        <f>SUM(L4:L15)</f>
        <v/>
      </c>
      <c r="M17">
        <f>SUM(M4:M15)</f>
        <v/>
      </c>
      <c r="N17">
        <f>SUM(N4:N15)</f>
        <v/>
      </c>
      <c r="O17">
        <f>SUM(O4:O15)</f>
        <v/>
      </c>
      <c r="P17">
        <f>SUM(P4:P15)</f>
        <v/>
      </c>
      <c r="Q17">
        <f>SUM(Q4:Q15)</f>
        <v/>
      </c>
      <c r="R17">
        <f>SUM(R4:R15)</f>
        <v/>
      </c>
      <c r="S17">
        <f>SUM(S4:S15)</f>
        <v/>
      </c>
      <c r="T17">
        <f>SUM(T4:T15)</f>
        <v/>
      </c>
    </row>
    <row r="18">
      <c r="A18" s="3" t="inlineStr">
        <is>
          <t>Average</t>
        </is>
      </c>
      <c r="C18">
        <f>IFERROR(AVERAGE(C4:C15),"")</f>
        <v/>
      </c>
      <c r="D18">
        <f>IFERROR(AVERAGE(D4:D15),"")</f>
        <v/>
      </c>
      <c r="E18">
        <f>IFERROR(AVERAGE(E4:E15),"")</f>
        <v/>
      </c>
      <c r="F18">
        <f>IFERROR(AVERAGE(F4:F15),"")</f>
        <v/>
      </c>
      <c r="G18">
        <f>IFERROR(AVERAGE(G4:G15),"")</f>
        <v/>
      </c>
      <c r="H18">
        <f>IFERROR(AVERAGE(H4:H15),"")</f>
        <v/>
      </c>
      <c r="I18">
        <f>IFERROR(AVERAGE(I4:I15),"")</f>
        <v/>
      </c>
      <c r="J18">
        <f>IFERROR(AVERAGE(J4:J15),"")</f>
        <v/>
      </c>
      <c r="K18">
        <f>IFERROR(AVERAGE(K4:K15),"")</f>
        <v/>
      </c>
      <c r="L18">
        <f>IFERROR(AVERAGE(L4:L15),"")</f>
        <v/>
      </c>
      <c r="M18">
        <f>IFERROR(AVERAGE(M4:M15),"")</f>
        <v/>
      </c>
      <c r="N18">
        <f>IFERROR(AVERAGE(N4:N15),"")</f>
        <v/>
      </c>
      <c r="O18">
        <f>IFERROR(AVERAGE(O4:O15),"")</f>
        <v/>
      </c>
      <c r="P18">
        <f>IFERROR(AVERAGE(P4:P15),"")</f>
        <v/>
      </c>
      <c r="Q18">
        <f>IFERROR(AVERAGE(Q4:Q15),"")</f>
        <v/>
      </c>
      <c r="R18">
        <f>IFERROR(AVERAGE(R4:R15),"")</f>
        <v/>
      </c>
      <c r="S18">
        <f>IFERROR(AVERAGE(S4:S15),"")</f>
        <v/>
      </c>
      <c r="T18">
        <f>IFERROR(AVERAGE(T4:T15),"")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23</t>
        </is>
      </c>
      <c r="B1" s="1" t="inlineStr">
        <is>
          <t>Final Ranking Coaches Poll:</t>
        </is>
      </c>
      <c r="C1" s="1" t="inlineStr">
        <is>
          <t>Playoffs: No</t>
        </is>
      </c>
      <c r="D1" s="1" t="inlineStr">
        <is>
          <t>Conference: American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>
        <is>
          <t>Lamar</t>
        </is>
      </c>
      <c r="C4" t="n">
        <v>51</v>
      </c>
      <c r="D4" t="n">
        <v>0</v>
      </c>
      <c r="E4" t="n">
        <v>-27.5</v>
      </c>
      <c r="F4" t="n">
        <v>-111</v>
      </c>
      <c r="G4">
        <f>IFERROR(E4*(F4/-105),"")</f>
        <v/>
      </c>
      <c r="H4">
        <f>IFERROR((C4-D4)+E4,"")</f>
        <v/>
      </c>
      <c r="I4" t="n">
        <v>63.5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S4" t="n">
        <v>-6966</v>
      </c>
      <c r="T4">
        <f>IFERROR(IF(S4&gt;0,100/(100+S4),ABS(S4)/(100+ABS(S4))),"")</f>
        <v/>
      </c>
    </row>
    <row r="5">
      <c r="A5" t="n">
        <v>2</v>
      </c>
      <c r="B5" t="inlineStr">
        <is>
          <t>Western Michigan</t>
        </is>
      </c>
      <c r="C5" t="n">
        <v>33</v>
      </c>
      <c r="D5" t="n">
        <v>30</v>
      </c>
      <c r="E5" t="n">
        <v>-11.5</v>
      </c>
      <c r="F5" t="n">
        <v>-108</v>
      </c>
      <c r="G5">
        <f>IFERROR(E5*(F5/-105),"")</f>
        <v/>
      </c>
      <c r="H5">
        <f>IFERROR((C5-D5)+E5,"")</f>
        <v/>
      </c>
      <c r="I5" t="n">
        <v>56.5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S5" t="n">
        <v>-430</v>
      </c>
      <c r="T5">
        <f>IFERROR(IF(S5&gt;0,100/(100+S5),ABS(S5)/(100+ABS(S5))),"")</f>
        <v/>
      </c>
    </row>
    <row r="6">
      <c r="A6" t="n">
        <v>3</v>
      </c>
      <c r="B6" t="inlineStr">
        <is>
          <t>Washington State</t>
        </is>
      </c>
      <c r="C6" t="n">
        <v>59</v>
      </c>
      <c r="D6" t="n">
        <v>10</v>
      </c>
      <c r="E6" t="n">
        <v>-7</v>
      </c>
      <c r="F6" t="n">
        <v>-107</v>
      </c>
      <c r="G6">
        <f>IFERROR(E6*(F6/-105),"")</f>
        <v/>
      </c>
      <c r="H6">
        <f>IFERROR((C6-D6)+E6,"")</f>
        <v/>
      </c>
      <c r="I6" t="n">
        <v>57.5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S6" t="n">
        <v>-257</v>
      </c>
      <c r="T6">
        <f>IFERROR(IF(S6&gt;0,100/(100+S6),ABS(S6)/(100+ABS(S6))),"")</f>
        <v/>
      </c>
    </row>
    <row r="7">
      <c r="A7" t="n">
        <v>4</v>
      </c>
      <c r="B7" t="inlineStr">
        <is>
          <t>Army</t>
        </is>
      </c>
      <c r="C7" t="n">
        <v>45</v>
      </c>
      <c r="D7" t="n">
        <v>38</v>
      </c>
      <c r="E7" t="n">
        <v>-2.5</v>
      </c>
      <c r="F7" t="n">
        <v>-115</v>
      </c>
      <c r="G7">
        <f>IFERROR(E7*(F7/-105),"")</f>
        <v/>
      </c>
      <c r="H7">
        <f>IFERROR((C7-D7)+E7,"")</f>
        <v/>
      </c>
      <c r="I7" t="n">
        <v>50.5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S7" t="n">
        <v>-146</v>
      </c>
      <c r="T7">
        <f>IFERROR(IF(S7&gt;0,100/(100+S7),ABS(S7)/(100+ABS(S7))),"")</f>
        <v/>
      </c>
    </row>
    <row r="8">
      <c r="A8" t="n">
        <v>5</v>
      </c>
      <c r="B8" t="inlineStr">
        <is>
          <t>South Alabama</t>
        </is>
      </c>
      <c r="C8" t="n">
        <v>36</v>
      </c>
      <c r="D8" t="n">
        <v>22</v>
      </c>
      <c r="E8" t="n">
        <v>-13</v>
      </c>
      <c r="F8" t="n">
        <v>-111</v>
      </c>
      <c r="G8">
        <f>IFERROR(E8*(F8/-105),"")</f>
        <v/>
      </c>
      <c r="H8">
        <f>IFERROR((C8-D8)+E8,"")</f>
        <v/>
      </c>
      <c r="I8" t="n">
        <v>63.5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S8" t="n">
        <v>-510</v>
      </c>
      <c r="T8">
        <f>IFERROR(IF(S8&gt;0,100/(100+S8),ABS(S8)/(100+ABS(S8))),"")</f>
        <v/>
      </c>
    </row>
    <row r="9">
      <c r="A9" t="n">
        <v>7</v>
      </c>
      <c r="B9" t="inlineStr">
        <is>
          <t>South Florida</t>
        </is>
      </c>
      <c r="C9" t="n">
        <v>36</v>
      </c>
      <c r="D9" t="n">
        <v>63</v>
      </c>
      <c r="E9" t="n">
        <v>-2.5</v>
      </c>
      <c r="F9" t="n">
        <v>-113</v>
      </c>
      <c r="G9">
        <f>IFERROR(E9*(F9/-105),"")</f>
        <v/>
      </c>
      <c r="H9">
        <f>IFERROR((C9-D9)+E9,"")</f>
        <v/>
      </c>
      <c r="I9" t="n">
        <v>68.5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S9" t="n">
        <v>-137</v>
      </c>
      <c r="T9">
        <f>IFERROR(IF(S9&gt;0,100/(100+S9),ABS(S9)/(100+ABS(S9))),"")</f>
        <v/>
      </c>
    </row>
    <row r="10">
      <c r="A10" t="n">
        <v>8</v>
      </c>
      <c r="B10" t="inlineStr">
        <is>
          <t>UTSA</t>
        </is>
      </c>
      <c r="C10" t="n">
        <v>55</v>
      </c>
      <c r="D10" t="n">
        <v>17</v>
      </c>
      <c r="E10" t="n">
        <v>-4</v>
      </c>
      <c r="F10" t="n">
        <v>-110</v>
      </c>
      <c r="G10">
        <f>IFERROR(E10*(F10/-105),"")</f>
        <v/>
      </c>
      <c r="H10">
        <f>IFERROR((C10-D10)+E10,"")</f>
        <v/>
      </c>
      <c r="I10" t="n">
        <v>65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S10" t="n">
        <v>-180</v>
      </c>
      <c r="T10">
        <f>IFERROR(IF(S10&gt;0,100/(100+S10),ABS(S10)/(100+ABS(S10))),"")</f>
        <v/>
      </c>
    </row>
    <row r="11">
      <c r="A11" t="n">
        <v>9</v>
      </c>
      <c r="B11" t="inlineStr">
        <is>
          <t>Charlotte</t>
        </is>
      </c>
      <c r="C11" t="n">
        <v>54</v>
      </c>
      <c r="D11" t="n">
        <v>20</v>
      </c>
      <c r="E11" t="n">
        <v>-25.5</v>
      </c>
      <c r="F11" t="n">
        <v>-110</v>
      </c>
      <c r="G11">
        <f>IFERROR(E11*(F11/-105),"")</f>
        <v/>
      </c>
      <c r="H11">
        <f>IFERROR((C11-D11)+E11,"")</f>
        <v/>
      </c>
      <c r="I11" t="n">
        <v>61.5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S11" t="n">
        <v>-2992</v>
      </c>
      <c r="T11">
        <f>IFERROR(IF(S11&gt;0,100/(100+S11),ABS(S11)/(100+ABS(S11))),"")</f>
        <v/>
      </c>
    </row>
    <row r="12">
      <c r="A12" t="n">
        <v>10</v>
      </c>
      <c r="B12" t="inlineStr">
        <is>
          <t>Navy</t>
        </is>
      </c>
      <c r="C12" t="n">
        <v>31</v>
      </c>
      <c r="D12" t="n">
        <v>17</v>
      </c>
      <c r="E12" t="n">
        <v>-6.5</v>
      </c>
      <c r="F12" t="n">
        <v>-117</v>
      </c>
      <c r="G12">
        <f>IFERROR(E12*(F12/-105),"")</f>
        <v/>
      </c>
      <c r="H12">
        <f>IFERROR((C12-D12)+E12,"")</f>
        <v/>
      </c>
      <c r="I12" t="n">
        <v>68.5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-240</v>
      </c>
      <c r="T12">
        <f>IFERROR(IF(S12&gt;0,100/(100+S12),ABS(S12)/(100+ABS(S12))),"")</f>
        <v/>
      </c>
    </row>
    <row r="13">
      <c r="A13" t="n">
        <v>12</v>
      </c>
      <c r="B13" t="inlineStr">
        <is>
          <t>UAB</t>
        </is>
      </c>
      <c r="C13" t="n">
        <v>53</v>
      </c>
      <c r="D13" t="n">
        <v>24</v>
      </c>
      <c r="E13" t="n">
        <v>-17.5</v>
      </c>
      <c r="F13" t="n">
        <v>-110</v>
      </c>
      <c r="G13">
        <f>IFERROR(E13*(F13/-105),"")</f>
        <v/>
      </c>
      <c r="H13">
        <f>IFERROR((C13-D13)+E13,"")</f>
        <v/>
      </c>
      <c r="I13" t="n">
        <v>69.5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S13" t="n">
        <v>-995</v>
      </c>
      <c r="T13">
        <f>IFERROR(IF(S13&gt;0,100/(100+S13),ABS(S13)/(100+ABS(S13))),"")</f>
        <v/>
      </c>
    </row>
    <row r="14">
      <c r="A14" t="n">
        <v>13</v>
      </c>
      <c r="B14" t="inlineStr">
        <is>
          <t>Rice</t>
        </is>
      </c>
      <c r="C14" t="n">
        <v>56</v>
      </c>
      <c r="D14" t="n">
        <v>24</v>
      </c>
      <c r="E14" t="n">
        <v>-18.5</v>
      </c>
      <c r="F14" t="n">
        <v>-109</v>
      </c>
      <c r="G14">
        <f>IFERROR(E14*(F14/-105),"")</f>
        <v/>
      </c>
      <c r="H14">
        <f>IFERROR((C14-D14)+E14,"")</f>
        <v/>
      </c>
      <c r="I14" t="n">
        <v>56.5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S14" t="n">
        <v>-1168</v>
      </c>
      <c r="T14">
        <f>IFERROR(IF(S14&gt;0,100/(100+S14),ABS(S14)/(100+ABS(S14))),"")</f>
        <v/>
      </c>
    </row>
    <row r="15">
      <c r="A15" t="n">
        <v>14</v>
      </c>
      <c r="B15" t="inlineStr">
        <is>
          <t>Temple</t>
        </is>
      </c>
      <c r="C15" t="n">
        <v>52</v>
      </c>
      <c r="D15" t="n">
        <v>25</v>
      </c>
      <c r="E15" t="n">
        <v>-20.5</v>
      </c>
      <c r="F15" t="n">
        <v>-110</v>
      </c>
      <c r="G15">
        <f>IFERROR(E15*(F15/-105),"")</f>
        <v/>
      </c>
      <c r="H15">
        <f>IFERROR((C15-D15)+E15,"")</f>
        <v/>
      </c>
      <c r="I15" t="n">
        <v>65.5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-1480</v>
      </c>
      <c r="T15">
        <f>IFERROR(IF(S15&gt;0,100/(100+S15),ABS(S15)/(100+ABS(S15))),"")</f>
        <v/>
      </c>
    </row>
    <row r="16">
      <c r="A16" t="n">
        <v>15</v>
      </c>
      <c r="B16" t="inlineStr">
        <is>
          <t>Tulane</t>
        </is>
      </c>
      <c r="C16" t="n">
        <v>21</v>
      </c>
      <c r="D16" t="n">
        <v>34</v>
      </c>
      <c r="E16" t="n">
        <v>-1</v>
      </c>
      <c r="F16" t="n">
        <v>-110</v>
      </c>
      <c r="G16">
        <f>IFERROR(E16*(F16/-105),"")</f>
        <v/>
      </c>
      <c r="H16">
        <f>IFERROR((C16-D16)+E16,"")</f>
        <v/>
      </c>
      <c r="I16" t="n">
        <v>66.5</v>
      </c>
      <c r="J16">
        <f>IFERROR(I16/2-E16/2,"")</f>
        <v/>
      </c>
      <c r="K16">
        <f>IFERROR(C16-J16,"")</f>
        <v/>
      </c>
      <c r="L16">
        <f>IFERROR(I16/2+E16/2,"")</f>
        <v/>
      </c>
      <c r="M16">
        <f>IFERROR(D16-L16,"")</f>
        <v/>
      </c>
      <c r="N16">
        <f>IFERROR((C16-D16)+G16,"")</f>
        <v/>
      </c>
      <c r="O16">
        <f>IFERROR(I16/2-G16/2,"")</f>
        <v/>
      </c>
      <c r="P16">
        <f>IFERROR(C16-O16,"")</f>
        <v/>
      </c>
      <c r="Q16">
        <f>IFERROR(I16/2+G16/2,"")</f>
        <v/>
      </c>
      <c r="R16">
        <f>IFERROR(D16-Q16,"")</f>
        <v/>
      </c>
      <c r="S16" t="n">
        <v>-121</v>
      </c>
      <c r="T16">
        <f>IFERROR(IF(S16&gt;0,100/(100+S16),ABS(S16)/(100+ABS(S16))),"")</f>
        <v/>
      </c>
    </row>
    <row r="18">
      <c r="A18" s="3" t="inlineStr">
        <is>
          <t>Net</t>
        </is>
      </c>
      <c r="C18">
        <f>SUM(C4:C16)</f>
        <v/>
      </c>
      <c r="D18">
        <f>SUM(D4:D16)</f>
        <v/>
      </c>
      <c r="E18">
        <f>SUM(E4:E16)</f>
        <v/>
      </c>
      <c r="F18">
        <f>SUM(F4:F16)</f>
        <v/>
      </c>
      <c r="G18">
        <f>SUM(G4:G16)</f>
        <v/>
      </c>
      <c r="H18">
        <f>SUM(H4:H16)</f>
        <v/>
      </c>
      <c r="I18">
        <f>SUM(I4:I16)</f>
        <v/>
      </c>
      <c r="J18">
        <f>SUM(J4:J16)</f>
        <v/>
      </c>
      <c r="K18">
        <f>SUM(K4:K16)</f>
        <v/>
      </c>
      <c r="L18">
        <f>SUM(L4:L16)</f>
        <v/>
      </c>
      <c r="M18">
        <f>SUM(M4:M16)</f>
        <v/>
      </c>
      <c r="N18">
        <f>SUM(N4:N16)</f>
        <v/>
      </c>
      <c r="O18">
        <f>SUM(O4:O16)</f>
        <v/>
      </c>
      <c r="P18">
        <f>SUM(P4:P16)</f>
        <v/>
      </c>
      <c r="Q18">
        <f>SUM(Q4:Q16)</f>
        <v/>
      </c>
      <c r="R18">
        <f>SUM(R4:R16)</f>
        <v/>
      </c>
      <c r="S18">
        <f>SUM(S4:S16)</f>
        <v/>
      </c>
      <c r="T18">
        <f>SUM(T4:T16)</f>
        <v/>
      </c>
    </row>
    <row r="19">
      <c r="A19" s="3" t="inlineStr">
        <is>
          <t>Average</t>
        </is>
      </c>
      <c r="C19">
        <f>IFERROR(AVERAGE(C4:C16),"")</f>
        <v/>
      </c>
      <c r="D19">
        <f>IFERROR(AVERAGE(D4:D16),"")</f>
        <v/>
      </c>
      <c r="E19">
        <f>IFERROR(AVERAGE(E4:E16),"")</f>
        <v/>
      </c>
      <c r="F19">
        <f>IFERROR(AVERAGE(F4:F16),"")</f>
        <v/>
      </c>
      <c r="G19">
        <f>IFERROR(AVERAGE(G4:G16),"")</f>
        <v/>
      </c>
      <c r="H19">
        <f>IFERROR(AVERAGE(H4:H16),"")</f>
        <v/>
      </c>
      <c r="I19">
        <f>IFERROR(AVERAGE(I4:I16),"")</f>
        <v/>
      </c>
      <c r="J19">
        <f>IFERROR(AVERAGE(J4:J16),"")</f>
        <v/>
      </c>
      <c r="K19">
        <f>IFERROR(AVERAGE(K4:K16),"")</f>
        <v/>
      </c>
      <c r="L19">
        <f>IFERROR(AVERAGE(L4:L16),"")</f>
        <v/>
      </c>
      <c r="M19">
        <f>IFERROR(AVERAGE(M4:M16),"")</f>
        <v/>
      </c>
      <c r="N19">
        <f>IFERROR(AVERAGE(N4:N16),"")</f>
        <v/>
      </c>
      <c r="O19">
        <f>IFERROR(AVERAGE(O4:O16),"")</f>
        <v/>
      </c>
      <c r="P19">
        <f>IFERROR(AVERAGE(P4:P16),"")</f>
        <v/>
      </c>
      <c r="Q19">
        <f>IFERROR(AVERAGE(Q4:Q16),"")</f>
        <v/>
      </c>
      <c r="R19">
        <f>IFERROR(AVERAGE(R4:R16),"")</f>
        <v/>
      </c>
      <c r="S19">
        <f>IFERROR(AVERAGE(S4:S16),"")</f>
        <v/>
      </c>
      <c r="T19">
        <f>IFERROR(AVERAGE(T4:T16),"")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24</t>
        </is>
      </c>
      <c r="B1" s="1" t="inlineStr">
        <is>
          <t>Final Ranking Coaches Poll:</t>
        </is>
      </c>
      <c r="C1" s="1" t="inlineStr">
        <is>
          <t>Playoffs: No</t>
        </is>
      </c>
      <c r="D1" s="1" t="inlineStr">
        <is>
          <t>Conference: ACC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>
        <is>
          <t>Colorado</t>
        </is>
      </c>
      <c r="C4" t="n">
        <v>27</v>
      </c>
      <c r="D4" t="n">
        <v>20</v>
      </c>
      <c r="E4" t="n">
        <v>-3.5</v>
      </c>
      <c r="F4" t="n">
        <v>-107</v>
      </c>
      <c r="G4">
        <f>IFERROR(E4*(F4/-105),"")</f>
        <v/>
      </c>
      <c r="H4">
        <f>IFERROR((C4-D4)+E4,"")</f>
        <v/>
      </c>
      <c r="I4" t="n">
        <v>50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S4" t="n">
        <v>-168</v>
      </c>
      <c r="T4">
        <f>IFERROR(IF(S4&gt;0,100/(100+S4),ABS(S4)/(100+ABS(S4))),"")</f>
        <v/>
      </c>
    </row>
    <row r="5">
      <c r="A5" t="n">
        <v>2</v>
      </c>
      <c r="B5" t="inlineStr">
        <is>
          <t>Gardner-Webb</t>
        </is>
      </c>
      <c r="C5" t="n">
        <v>59</v>
      </c>
      <c r="D5" t="n">
        <v>12</v>
      </c>
      <c r="E5" t="n">
        <v>-37.5</v>
      </c>
      <c r="F5" t="n">
        <v>-110</v>
      </c>
      <c r="G5">
        <f>IFERROR(E5*(F5/-105),"")</f>
        <v/>
      </c>
      <c r="H5">
        <f>IFERROR((C5-D5)+E5,"")</f>
        <v/>
      </c>
      <c r="I5" t="n">
        <v>60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T5">
        <f>IFERROR(IF(S5&gt;0,100/(100+S5),ABS(S5)/(100+ABS(S5))),"")</f>
        <v/>
      </c>
    </row>
    <row r="6">
      <c r="A6" t="n">
        <v>3</v>
      </c>
      <c r="B6" t="inlineStr">
        <is>
          <t>Clemson</t>
        </is>
      </c>
      <c r="C6" t="n">
        <v>24</v>
      </c>
      <c r="D6" t="n">
        <v>21</v>
      </c>
      <c r="E6" t="n">
        <v>3</v>
      </c>
      <c r="F6" t="n">
        <v>-116</v>
      </c>
      <c r="G6">
        <f>IFERROR(E6*(F6/-105),"")</f>
        <v/>
      </c>
      <c r="H6">
        <f>IFERROR((C6-D6)+E6,"")</f>
        <v/>
      </c>
      <c r="I6" t="n">
        <v>51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S6" t="n">
        <v>118</v>
      </c>
      <c r="T6">
        <f>IFERROR(IF(S6&gt;0,100/(100+S6),ABS(S6)/(100+ABS(S6))),"")</f>
        <v/>
      </c>
    </row>
    <row r="7">
      <c r="A7" t="n">
        <v>4</v>
      </c>
      <c r="B7" t="inlineStr">
        <is>
          <t>Temple</t>
        </is>
      </c>
      <c r="C7" t="n">
        <v>45</v>
      </c>
      <c r="D7" t="n">
        <v>24</v>
      </c>
      <c r="E7" t="n">
        <v>-24.5</v>
      </c>
      <c r="F7" t="n">
        <v>-108</v>
      </c>
      <c r="G7">
        <f>IFERROR(E7*(F7/-105),"")</f>
        <v/>
      </c>
      <c r="H7">
        <f>IFERROR((C7-D7)+E7,"")</f>
        <v/>
      </c>
      <c r="I7" t="n">
        <v>52.5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S7" t="n">
        <v>-2416</v>
      </c>
      <c r="T7">
        <f>IFERROR(IF(S7&gt;0,100/(100+S7),ABS(S7)/(100+ABS(S7))),"")</f>
        <v/>
      </c>
    </row>
    <row r="8">
      <c r="A8" t="n">
        <v>5</v>
      </c>
      <c r="B8" t="inlineStr">
        <is>
          <t>Wake Forest</t>
        </is>
      </c>
      <c r="C8" t="n">
        <v>30</v>
      </c>
      <c r="D8" t="n">
        <v>29</v>
      </c>
      <c r="E8" t="n">
        <v>-13.5</v>
      </c>
      <c r="F8" t="n">
        <v>-109</v>
      </c>
      <c r="G8">
        <f>IFERROR(E8*(F8/-105),"")</f>
        <v/>
      </c>
      <c r="H8">
        <f>IFERROR((C8-D8)+E8,"")</f>
        <v/>
      </c>
      <c r="I8" t="n">
        <v>52.5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S8" t="n">
        <v>-541</v>
      </c>
      <c r="T8">
        <f>IFERROR(IF(S8&gt;0,100/(100+S8),ABS(S8)/(100+ABS(S8))),"")</f>
        <v/>
      </c>
    </row>
    <row r="9">
      <c r="A9" t="n">
        <v>7</v>
      </c>
      <c r="B9" t="inlineStr">
        <is>
          <t>Virginia Tech</t>
        </is>
      </c>
      <c r="C9" t="n">
        <v>35</v>
      </c>
      <c r="D9" t="n">
        <v>20</v>
      </c>
      <c r="E9" t="n">
        <v>-14</v>
      </c>
      <c r="F9" t="n">
        <v>-113</v>
      </c>
      <c r="G9">
        <f>IFERROR(E9*(F9/-105),"")</f>
        <v/>
      </c>
      <c r="H9">
        <f>IFERROR((C9-D9)+E9,"")</f>
        <v/>
      </c>
      <c r="I9" t="n">
        <v>55.5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S9" t="n">
        <v>-617</v>
      </c>
      <c r="T9">
        <f>IFERROR(IF(S9&gt;0,100/(100+S9),ABS(S9)/(100+ABS(S9))),"")</f>
        <v/>
      </c>
    </row>
    <row r="10">
      <c r="A10" t="n">
        <v>8</v>
      </c>
      <c r="B10" t="inlineStr">
        <is>
          <t>Duke</t>
        </is>
      </c>
      <c r="C10" t="n">
        <v>27</v>
      </c>
      <c r="D10" t="n">
        <v>18</v>
      </c>
      <c r="E10" t="n">
        <v>3.5</v>
      </c>
      <c r="F10" t="n">
        <v>-117</v>
      </c>
      <c r="G10">
        <f>IFERROR(E10*(F10/-105),"")</f>
        <v/>
      </c>
      <c r="H10">
        <f>IFERROR((C10-D10)+E10,"")</f>
        <v/>
      </c>
      <c r="I10" t="n">
        <v>60.5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S10" t="n">
        <v>137</v>
      </c>
      <c r="T10">
        <f>IFERROR(IF(S10&gt;0,100/(100+S10),ABS(S10)/(100+ABS(S10))),"")</f>
        <v/>
      </c>
    </row>
    <row r="11">
      <c r="A11" t="n">
        <v>9</v>
      </c>
      <c r="B11" t="inlineStr">
        <is>
          <t>Syracuse</t>
        </is>
      </c>
      <c r="C11" t="n">
        <v>41</v>
      </c>
      <c r="D11" t="n">
        <v>16</v>
      </c>
      <c r="E11" t="n">
        <v>-17</v>
      </c>
      <c r="F11" t="n">
        <v>-110</v>
      </c>
      <c r="G11">
        <f>IFERROR(E11*(F11/-105),"")</f>
        <v/>
      </c>
      <c r="H11">
        <f>IFERROR((C11-D11)+E11,"")</f>
        <v/>
      </c>
      <c r="I11" t="n">
        <v>52.5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S11" t="n">
        <v>-904</v>
      </c>
      <c r="T11">
        <f>IFERROR(IF(S11&gt;0,100/(100+S11),ABS(S11)/(100+ABS(S11))),"")</f>
        <v/>
      </c>
    </row>
    <row r="12">
      <c r="A12" t="n">
        <v>10</v>
      </c>
      <c r="B12" t="inlineStr">
        <is>
          <t>North Carolina State</t>
        </is>
      </c>
      <c r="C12" t="n">
        <v>36</v>
      </c>
      <c r="D12" t="n">
        <v>48</v>
      </c>
      <c r="E12" t="n">
        <v>-4.5</v>
      </c>
      <c r="F12" t="n">
        <v>-110</v>
      </c>
      <c r="G12">
        <f>IFERROR(E12*(F12/-105),"")</f>
        <v/>
      </c>
      <c r="H12">
        <f>IFERROR((C12-D12)+E12,"")</f>
        <v/>
      </c>
      <c r="I12" t="n">
        <v>58.5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-199</v>
      </c>
      <c r="T12">
        <f>IFERROR(IF(S12&gt;0,100/(100+S12),ABS(S12)/(100+ABS(S12))),"")</f>
        <v/>
      </c>
    </row>
    <row r="13">
      <c r="A13" t="n">
        <v>12</v>
      </c>
      <c r="B13" t="inlineStr">
        <is>
          <t>Boston College</t>
        </is>
      </c>
      <c r="C13" t="n">
        <v>36</v>
      </c>
      <c r="D13" t="n">
        <v>34</v>
      </c>
      <c r="E13" t="n">
        <v>-16.5</v>
      </c>
      <c r="F13" t="n">
        <v>-113</v>
      </c>
      <c r="G13">
        <f>IFERROR(E13*(F13/-105),"")</f>
        <v/>
      </c>
      <c r="H13">
        <f>IFERROR((C13-D13)+E13,"")</f>
        <v/>
      </c>
      <c r="I13" t="n">
        <v>60.5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S13" t="n">
        <v>-823</v>
      </c>
      <c r="T13">
        <f>IFERROR(IF(S13&gt;0,100/(100+S13),ABS(S13)/(100+ABS(S13))),"")</f>
        <v/>
      </c>
    </row>
    <row r="14">
      <c r="A14" t="n">
        <v>13</v>
      </c>
      <c r="B14" t="inlineStr">
        <is>
          <t>Pittsburgh</t>
        </is>
      </c>
      <c r="C14" t="n">
        <v>28</v>
      </c>
      <c r="D14" t="n">
        <v>42</v>
      </c>
      <c r="E14" t="n">
        <v>-2.5</v>
      </c>
      <c r="F14" t="n">
        <v>-112</v>
      </c>
      <c r="G14">
        <f>IFERROR(E14*(F14/-105),"")</f>
        <v/>
      </c>
      <c r="H14">
        <f>IFERROR((C14-D14)+E14,"")</f>
        <v/>
      </c>
      <c r="I14" t="n">
        <v>60.5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S14" t="n">
        <v>-138</v>
      </c>
      <c r="T14">
        <f>IFERROR(IF(S14&gt;0,100/(100+S14),ABS(S14)/(100+ABS(S14))),"")</f>
        <v/>
      </c>
    </row>
    <row r="15">
      <c r="A15" t="n">
        <v>14</v>
      </c>
      <c r="B15" t="inlineStr">
        <is>
          <t>Georgia</t>
        </is>
      </c>
      <c r="C15" t="n">
        <v>9</v>
      </c>
      <c r="D15" t="n">
        <v>16</v>
      </c>
      <c r="E15" t="n">
        <v>16</v>
      </c>
      <c r="F15" t="n">
        <v>-111</v>
      </c>
      <c r="G15">
        <f>IFERROR(E15*(F15/-105),"")</f>
        <v/>
      </c>
      <c r="H15">
        <f>IFERROR((C15-D15)+E15,"")</f>
        <v/>
      </c>
      <c r="I15" t="n">
        <v>60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523</v>
      </c>
      <c r="T15">
        <f>IFERROR(IF(S15&gt;0,100/(100+S15),ABS(S15)/(100+ABS(S15))),"")</f>
        <v/>
      </c>
    </row>
    <row r="17">
      <c r="A17" s="3" t="inlineStr">
        <is>
          <t>Net</t>
        </is>
      </c>
      <c r="C17">
        <f>SUM(C4:C15)</f>
        <v/>
      </c>
      <c r="D17">
        <f>SUM(D4:D15)</f>
        <v/>
      </c>
      <c r="E17">
        <f>SUM(E4:E15)</f>
        <v/>
      </c>
      <c r="F17">
        <f>SUM(F4:F15)</f>
        <v/>
      </c>
      <c r="G17">
        <f>SUM(G4:G15)</f>
        <v/>
      </c>
      <c r="H17">
        <f>SUM(H4:H15)</f>
        <v/>
      </c>
      <c r="I17">
        <f>SUM(I4:I15)</f>
        <v/>
      </c>
      <c r="J17">
        <f>SUM(J4:J15)</f>
        <v/>
      </c>
      <c r="K17">
        <f>SUM(K4:K15)</f>
        <v/>
      </c>
      <c r="L17">
        <f>SUM(L4:L15)</f>
        <v/>
      </c>
      <c r="M17">
        <f>SUM(M4:M15)</f>
        <v/>
      </c>
      <c r="N17">
        <f>SUM(N4:N15)</f>
        <v/>
      </c>
      <c r="O17">
        <f>SUM(O4:O15)</f>
        <v/>
      </c>
      <c r="P17">
        <f>SUM(P4:P15)</f>
        <v/>
      </c>
      <c r="Q17">
        <f>SUM(Q4:Q15)</f>
        <v/>
      </c>
      <c r="R17">
        <f>SUM(R4:R15)</f>
        <v/>
      </c>
      <c r="S17">
        <f>SUM(S4:S15)</f>
        <v/>
      </c>
      <c r="T17">
        <f>SUM(T4:T15)</f>
        <v/>
      </c>
    </row>
    <row r="18">
      <c r="A18" s="3" t="inlineStr">
        <is>
          <t>Average</t>
        </is>
      </c>
      <c r="C18">
        <f>IFERROR(AVERAGE(C4:C15),"")</f>
        <v/>
      </c>
      <c r="D18">
        <f>IFERROR(AVERAGE(D4:D15),"")</f>
        <v/>
      </c>
      <c r="E18">
        <f>IFERROR(AVERAGE(E4:E15),"")</f>
        <v/>
      </c>
      <c r="F18">
        <f>IFERROR(AVERAGE(F4:F15),"")</f>
        <v/>
      </c>
      <c r="G18">
        <f>IFERROR(AVERAGE(G4:G15),"")</f>
        <v/>
      </c>
      <c r="H18">
        <f>IFERROR(AVERAGE(H4:H15),"")</f>
        <v/>
      </c>
      <c r="I18">
        <f>IFERROR(AVERAGE(I4:I15),"")</f>
        <v/>
      </c>
      <c r="J18">
        <f>IFERROR(AVERAGE(J4:J15),"")</f>
        <v/>
      </c>
      <c r="K18">
        <f>IFERROR(AVERAGE(K4:K15),"")</f>
        <v/>
      </c>
      <c r="L18">
        <f>IFERROR(AVERAGE(L4:L15),"")</f>
        <v/>
      </c>
      <c r="M18">
        <f>IFERROR(AVERAGE(M4:M15),"")</f>
        <v/>
      </c>
      <c r="N18">
        <f>IFERROR(AVERAGE(N4:N15),"")</f>
        <v/>
      </c>
      <c r="O18">
        <f>IFERROR(AVERAGE(O4:O15),"")</f>
        <v/>
      </c>
      <c r="P18">
        <f>IFERROR(AVERAGE(P4:P15),"")</f>
        <v/>
      </c>
      <c r="Q18">
        <f>IFERROR(AVERAGE(Q4:Q15),"")</f>
        <v/>
      </c>
      <c r="R18">
        <f>IFERROR(AVERAGE(R4:R15),"")</f>
        <v/>
      </c>
      <c r="S18">
        <f>IFERROR(AVERAGE(S4:S15),"")</f>
        <v/>
      </c>
      <c r="T18">
        <f>IFERROR(AVERAGE(T4:T15),"")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0" customWidth="1" min="5" max="5"/>
    <col width="9" customWidth="1" min="6" max="6"/>
    <col width="10" customWidth="1" min="7" max="7"/>
    <col width="12" customWidth="1" min="8" max="8"/>
    <col width="8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</cols>
  <sheetData>
    <row r="1">
      <c r="A1" s="1" t="inlineStr">
        <is>
          <t>Final Ranking AP Poll: 25</t>
        </is>
      </c>
      <c r="B1" s="1" t="inlineStr">
        <is>
          <t>Final Ranking Coaches Poll:</t>
        </is>
      </c>
      <c r="C1" s="1" t="inlineStr">
        <is>
          <t>Playoffs: No</t>
        </is>
      </c>
      <c r="D1" s="1" t="inlineStr">
        <is>
          <t>Conference: SEC</t>
        </is>
      </c>
    </row>
    <row r="3">
      <c r="A3" s="2" t="inlineStr">
        <is>
          <t>Week #</t>
        </is>
      </c>
      <c r="B3" s="2" t="inlineStr">
        <is>
          <t>Opponent</t>
        </is>
      </c>
      <c r="C3" s="2" t="inlineStr">
        <is>
          <t>Final Score (PF)</t>
        </is>
      </c>
      <c r="D3" s="2" t="inlineStr">
        <is>
          <t>Final Score (PA)</t>
        </is>
      </c>
      <c r="E3" s="2" t="inlineStr">
        <is>
          <t>Unweighted Spread</t>
        </is>
      </c>
      <c r="F3" s="2" t="inlineStr">
        <is>
          <t>Unweighted Odds</t>
        </is>
      </c>
      <c r="G3" s="2" t="inlineStr">
        <is>
          <t>Weighted Spread</t>
        </is>
      </c>
      <c r="H3" s="2" t="inlineStr">
        <is>
          <t>Unweighted Point Differental Vs. Spread</t>
        </is>
      </c>
      <c r="I3" s="2" t="inlineStr">
        <is>
          <t>Total O/U</t>
        </is>
      </c>
      <c r="J3" s="2" t="inlineStr">
        <is>
          <t>Unweighted Team Net O/U</t>
        </is>
      </c>
      <c r="K3" s="2" t="inlineStr">
        <is>
          <t>Unweighted Point Diff. Vs. Team O/U</t>
        </is>
      </c>
      <c r="L3" s="2" t="inlineStr">
        <is>
          <t>Unweighted Opponent O/U</t>
        </is>
      </c>
      <c r="M3" s="2" t="inlineStr">
        <is>
          <t>Unweighted Point Diff. Vs. Opponent O/U</t>
        </is>
      </c>
      <c r="N3" s="2" t="inlineStr">
        <is>
          <t>Weighted Point Differental Vs. Spread</t>
        </is>
      </c>
      <c r="O3" s="2" t="inlineStr">
        <is>
          <t>Weighted Team Net O/U</t>
        </is>
      </c>
      <c r="P3" s="2" t="inlineStr">
        <is>
          <t>Weighted Point Diff. Vs. Team O/U</t>
        </is>
      </c>
      <c r="Q3" s="2" t="inlineStr">
        <is>
          <t>Weighted Opponent O/U</t>
        </is>
      </c>
      <c r="R3" s="2" t="inlineStr">
        <is>
          <t>Weighted Point Diff. Vs. Opponent O/U</t>
        </is>
      </c>
      <c r="S3" s="2" t="inlineStr">
        <is>
          <t>Moneyline Net Odds</t>
        </is>
      </c>
      <c r="T3" s="2" t="inlineStr">
        <is>
          <t>Implied Win % Chance</t>
        </is>
      </c>
    </row>
    <row r="4">
      <c r="A4" t="n">
        <v>1</v>
      </c>
      <c r="B4" t="inlineStr">
        <is>
          <t>Central Arkansas</t>
        </is>
      </c>
      <c r="C4" t="n">
        <v>61</v>
      </c>
      <c r="D4" t="n">
        <v>6</v>
      </c>
      <c r="E4" t="n">
        <v>-38.5</v>
      </c>
      <c r="F4" t="n">
        <v>-111</v>
      </c>
      <c r="G4">
        <f>IFERROR(E4*(F4/-105),"")</f>
        <v/>
      </c>
      <c r="H4">
        <f>IFERROR((C4-D4)+E4,"")</f>
        <v/>
      </c>
      <c r="I4" t="n">
        <v>52.5</v>
      </c>
      <c r="J4">
        <f>IFERROR(I4/2-E4/2,"")</f>
        <v/>
      </c>
      <c r="K4">
        <f>IFERROR(C4-J4,"")</f>
        <v/>
      </c>
      <c r="L4">
        <f>IFERROR(I4/2+E4/2,"")</f>
        <v/>
      </c>
      <c r="M4">
        <f>IFERROR(D4-L4,"")</f>
        <v/>
      </c>
      <c r="N4">
        <f>IFERROR((C4-D4)+G4,"")</f>
        <v/>
      </c>
      <c r="O4">
        <f>IFERROR(I4/2-G4/2,"")</f>
        <v/>
      </c>
      <c r="P4">
        <f>IFERROR(C4-O4,"")</f>
        <v/>
      </c>
      <c r="Q4">
        <f>IFERROR(I4/2+G4/2,"")</f>
        <v/>
      </c>
      <c r="R4">
        <f>IFERROR(D4-Q4,"")</f>
        <v/>
      </c>
      <c r="S4" t="n">
        <v>-4000</v>
      </c>
      <c r="T4">
        <f>IFERROR(IF(S4&gt;0,100/(100+S4),ABS(S4)/(100+ABS(S4))),"")</f>
        <v/>
      </c>
    </row>
    <row r="5">
      <c r="A5" t="n">
        <v>2</v>
      </c>
      <c r="B5" t="inlineStr">
        <is>
          <t>Kansas</t>
        </is>
      </c>
      <c r="C5" t="n">
        <v>42</v>
      </c>
      <c r="D5" t="n">
        <v>31</v>
      </c>
      <c r="E5" t="n">
        <v>-5.5</v>
      </c>
      <c r="F5" t="n">
        <v>-109</v>
      </c>
      <c r="G5">
        <f>IFERROR(E5*(F5/-105),"")</f>
        <v/>
      </c>
      <c r="H5">
        <f>IFERROR((C5-D5)+E5,"")</f>
        <v/>
      </c>
      <c r="I5" t="n">
        <v>50.5</v>
      </c>
      <c r="J5">
        <f>IFERROR(I5/2-E5/2,"")</f>
        <v/>
      </c>
      <c r="K5">
        <f>IFERROR(C5-J5,"")</f>
        <v/>
      </c>
      <c r="L5">
        <f>IFERROR(I5/2+E5/2,"")</f>
        <v/>
      </c>
      <c r="M5">
        <f>IFERROR(D5-L5,"")</f>
        <v/>
      </c>
      <c r="N5">
        <f>IFERROR((C5-D5)+G5,"")</f>
        <v/>
      </c>
      <c r="O5">
        <f>IFERROR(I5/2-G5/2,"")</f>
        <v/>
      </c>
      <c r="P5">
        <f>IFERROR(C5-O5,"")</f>
        <v/>
      </c>
      <c r="Q5">
        <f>IFERROR(I5/2+G5/2,"")</f>
        <v/>
      </c>
      <c r="R5">
        <f>IFERROR(D5-Q5,"")</f>
        <v/>
      </c>
      <c r="S5" t="n">
        <v>-211</v>
      </c>
      <c r="T5">
        <f>IFERROR(IF(S5&gt;0,100/(100+S5),ABS(S5)/(100+ABS(S5))),"")</f>
        <v/>
      </c>
    </row>
    <row r="6">
      <c r="A6" t="n">
        <v>3</v>
      </c>
      <c r="B6" t="inlineStr">
        <is>
          <t>Louisiana-Lafayette</t>
        </is>
      </c>
      <c r="C6" t="n">
        <v>52</v>
      </c>
      <c r="D6" t="n">
        <v>10</v>
      </c>
      <c r="E6" t="n">
        <v>-27</v>
      </c>
      <c r="F6" t="n">
        <v>-110</v>
      </c>
      <c r="G6">
        <f>IFERROR(E6*(F6/-105),"")</f>
        <v/>
      </c>
      <c r="H6">
        <f>IFERROR((C6-D6)+E6,"")</f>
        <v/>
      </c>
      <c r="I6" t="n">
        <v>47.5</v>
      </c>
      <c r="J6">
        <f>IFERROR(I6/2-E6/2,"")</f>
        <v/>
      </c>
      <c r="K6">
        <f>IFERROR(C6-J6,"")</f>
        <v/>
      </c>
      <c r="L6">
        <f>IFERROR(I6/2+E6/2,"")</f>
        <v/>
      </c>
      <c r="M6">
        <f>IFERROR(D6-L6,"")</f>
        <v/>
      </c>
      <c r="N6">
        <f>IFERROR((C6-D6)+G6,"")</f>
        <v/>
      </c>
      <c r="O6">
        <f>IFERROR(I6/2-G6/2,"")</f>
        <v/>
      </c>
      <c r="P6">
        <f>IFERROR(C6-O6,"")</f>
        <v/>
      </c>
      <c r="Q6">
        <f>IFERROR(I6/2+G6/2,"")</f>
        <v/>
      </c>
      <c r="R6">
        <f>IFERROR(D6-Q6,"")</f>
        <v/>
      </c>
      <c r="S6" t="n">
        <v>-6460</v>
      </c>
      <c r="T6">
        <f>IFERROR(IF(S6&gt;0,100/(100+S6),ABS(S6)/(100+ABS(S6))),"")</f>
        <v/>
      </c>
    </row>
    <row r="7">
      <c r="A7" t="n">
        <v>4</v>
      </c>
      <c r="B7" t="inlineStr">
        <is>
          <t>South Carolina</t>
        </is>
      </c>
      <c r="C7" t="n">
        <v>29</v>
      </c>
      <c r="D7" t="n">
        <v>20</v>
      </c>
      <c r="E7" t="n">
        <v>-10</v>
      </c>
      <c r="F7" t="n">
        <v>-109</v>
      </c>
      <c r="G7">
        <f>IFERROR(E7*(F7/-105),"")</f>
        <v/>
      </c>
      <c r="H7">
        <f>IFERROR((C7-D7)+E7,"")</f>
        <v/>
      </c>
      <c r="I7" t="n">
        <v>48.5</v>
      </c>
      <c r="J7">
        <f>IFERROR(I7/2-E7/2,"")</f>
        <v/>
      </c>
      <c r="K7">
        <f>IFERROR(C7-J7,"")</f>
        <v/>
      </c>
      <c r="L7">
        <f>IFERROR(I7/2+E7/2,"")</f>
        <v/>
      </c>
      <c r="M7">
        <f>IFERROR(D7-L7,"")</f>
        <v/>
      </c>
      <c r="N7">
        <f>IFERROR((C7-D7)+G7,"")</f>
        <v/>
      </c>
      <c r="O7">
        <f>IFERROR(I7/2-G7/2,"")</f>
        <v/>
      </c>
      <c r="P7">
        <f>IFERROR(C7-O7,"")</f>
        <v/>
      </c>
      <c r="Q7">
        <f>IFERROR(I7/2+G7/2,"")</f>
        <v/>
      </c>
      <c r="R7">
        <f>IFERROR(D7-Q7,"")</f>
        <v/>
      </c>
      <c r="S7" t="n">
        <v>-358</v>
      </c>
      <c r="T7">
        <f>IFERROR(IF(S7&gt;0,100/(100+S7),ABS(S7)/(100+ABS(S7))),"")</f>
        <v/>
      </c>
    </row>
    <row r="8">
      <c r="A8" t="n">
        <v>5</v>
      </c>
      <c r="B8" t="inlineStr">
        <is>
          <t>Massachusetts</t>
        </is>
      </c>
      <c r="C8" t="n">
        <v>42</v>
      </c>
      <c r="D8" t="n">
        <v>6</v>
      </c>
      <c r="E8" t="n">
        <v>-44.5</v>
      </c>
      <c r="F8" t="n">
        <v>-108</v>
      </c>
      <c r="G8">
        <f>IFERROR(E8*(F8/-105),"")</f>
        <v/>
      </c>
      <c r="H8">
        <f>IFERROR((C8-D8)+E8,"")</f>
        <v/>
      </c>
      <c r="I8" t="n">
        <v>56.5</v>
      </c>
      <c r="J8">
        <f>IFERROR(I8/2-E8/2,"")</f>
        <v/>
      </c>
      <c r="K8">
        <f>IFERROR(C8-J8,"")</f>
        <v/>
      </c>
      <c r="L8">
        <f>IFERROR(I8/2+E8/2,"")</f>
        <v/>
      </c>
      <c r="M8">
        <f>IFERROR(D8-L8,"")</f>
        <v/>
      </c>
      <c r="N8">
        <f>IFERROR((C8-D8)+G8,"")</f>
        <v/>
      </c>
      <c r="O8">
        <f>IFERROR(I8/2-G8/2,"")</f>
        <v/>
      </c>
      <c r="P8">
        <f>IFERROR(C8-O8,"")</f>
        <v/>
      </c>
      <c r="Q8">
        <f>IFERROR(I8/2+G8/2,"")</f>
        <v/>
      </c>
      <c r="R8">
        <f>IFERROR(D8-Q8,"")</f>
        <v/>
      </c>
      <c r="T8">
        <f>IFERROR(IF(S8&gt;0,100/(100+S8),ABS(S8)/(100+ABS(S8))),"")</f>
        <v/>
      </c>
    </row>
    <row r="9">
      <c r="A9" t="n">
        <v>7</v>
      </c>
      <c r="B9" t="inlineStr">
        <is>
          <t>Alabama</t>
        </is>
      </c>
      <c r="C9" t="n">
        <v>24</v>
      </c>
      <c r="D9" t="n">
        <v>27</v>
      </c>
      <c r="E9" t="n">
        <v>3.5</v>
      </c>
      <c r="F9" t="n">
        <v>-116</v>
      </c>
      <c r="G9">
        <f>IFERROR(E9*(F9/-105),"")</f>
        <v/>
      </c>
      <c r="H9">
        <f>IFERROR((C9-D9)+E9,"")</f>
        <v/>
      </c>
      <c r="I9" t="n">
        <v>51</v>
      </c>
      <c r="J9">
        <f>IFERROR(I9/2-E9/2,"")</f>
        <v/>
      </c>
      <c r="K9">
        <f>IFERROR(C9-J9,"")</f>
        <v/>
      </c>
      <c r="L9">
        <f>IFERROR(I9/2+E9/2,"")</f>
        <v/>
      </c>
      <c r="M9">
        <f>IFERROR(D9-L9,"")</f>
        <v/>
      </c>
      <c r="N9">
        <f>IFERROR((C9-D9)+G9,"")</f>
        <v/>
      </c>
      <c r="O9">
        <f>IFERROR(I9/2-G9/2,"")</f>
        <v/>
      </c>
      <c r="P9">
        <f>IFERROR(C9-O9,"")</f>
        <v/>
      </c>
      <c r="Q9">
        <f>IFERROR(I9/2+G9/2,"")</f>
        <v/>
      </c>
      <c r="R9">
        <f>IFERROR(D9-Q9,"")</f>
        <v/>
      </c>
      <c r="S9" t="n">
        <v>141</v>
      </c>
      <c r="T9">
        <f>IFERROR(IF(S9&gt;0,100/(100+S9),ABS(S9)/(100+ABS(S9))),"")</f>
        <v/>
      </c>
    </row>
    <row r="10">
      <c r="A10" t="n">
        <v>8</v>
      </c>
      <c r="B10" t="inlineStr">
        <is>
          <t>Auburn</t>
        </is>
      </c>
      <c r="C10" t="n">
        <v>23</v>
      </c>
      <c r="D10" t="n">
        <v>17</v>
      </c>
      <c r="E10" t="n">
        <v>-1.5</v>
      </c>
      <c r="F10" t="n">
        <v>-110</v>
      </c>
      <c r="G10">
        <f>IFERROR(E10*(F10/-105),"")</f>
        <v/>
      </c>
      <c r="H10">
        <f>IFERROR((C10-D10)+E10,"")</f>
        <v/>
      </c>
      <c r="I10" t="n">
        <v>43.5</v>
      </c>
      <c r="J10">
        <f>IFERROR(I10/2-E10/2,"")</f>
        <v/>
      </c>
      <c r="K10">
        <f>IFERROR(C10-J10,"")</f>
        <v/>
      </c>
      <c r="L10">
        <f>IFERROR(I10/2+E10/2,"")</f>
        <v/>
      </c>
      <c r="M10">
        <f>IFERROR(D10-L10,"")</f>
        <v/>
      </c>
      <c r="N10">
        <f>IFERROR((C10-D10)+G10,"")</f>
        <v/>
      </c>
      <c r="O10">
        <f>IFERROR(I10/2-G10/2,"")</f>
        <v/>
      </c>
      <c r="P10">
        <f>IFERROR(C10-O10,"")</f>
        <v/>
      </c>
      <c r="Q10">
        <f>IFERROR(I10/2+G10/2,"")</f>
        <v/>
      </c>
      <c r="R10">
        <f>IFERROR(D10-Q10,"")</f>
        <v/>
      </c>
      <c r="S10" t="n">
        <v>-120</v>
      </c>
      <c r="T10">
        <f>IFERROR(IF(S10&gt;0,100/(100+S10),ABS(S10)/(100+ABS(S10))),"")</f>
        <v/>
      </c>
    </row>
    <row r="11">
      <c r="A11" t="n">
        <v>9</v>
      </c>
      <c r="B11" t="inlineStr">
        <is>
          <t>Vanderbilt</t>
        </is>
      </c>
      <c r="C11" t="n">
        <v>10</v>
      </c>
      <c r="D11" t="n">
        <v>17</v>
      </c>
      <c r="E11" t="n">
        <v>3</v>
      </c>
      <c r="F11" t="n">
        <v>-107</v>
      </c>
      <c r="G11">
        <f>IFERROR(E11*(F11/-105),"")</f>
        <v/>
      </c>
      <c r="H11">
        <f>IFERROR((C11-D11)+E11,"")</f>
        <v/>
      </c>
      <c r="I11" t="n">
        <v>52.5</v>
      </c>
      <c r="J11">
        <f>IFERROR(I11/2-E11/2,"")</f>
        <v/>
      </c>
      <c r="K11">
        <f>IFERROR(C11-J11,"")</f>
        <v/>
      </c>
      <c r="L11">
        <f>IFERROR(I11/2+E11/2,"")</f>
        <v/>
      </c>
      <c r="M11">
        <f>IFERROR(D11-L11,"")</f>
        <v/>
      </c>
      <c r="N11">
        <f>IFERROR((C11-D11)+G11,"")</f>
        <v/>
      </c>
      <c r="O11">
        <f>IFERROR(I11/2-G11/2,"")</f>
        <v/>
      </c>
      <c r="P11">
        <f>IFERROR(C11-O11,"")</f>
        <v/>
      </c>
      <c r="Q11">
        <f>IFERROR(I11/2+G11/2,"")</f>
        <v/>
      </c>
      <c r="R11">
        <f>IFERROR(D11-Q11,"")</f>
        <v/>
      </c>
      <c r="S11" t="n">
        <v>128</v>
      </c>
      <c r="T11">
        <f>IFERROR(IF(S11&gt;0,100/(100+S11),ABS(S11)/(100+ABS(S11))),"")</f>
        <v/>
      </c>
    </row>
    <row r="12">
      <c r="A12" t="n">
        <v>11</v>
      </c>
      <c r="B12" t="inlineStr">
        <is>
          <t>Texas A&amp;M</t>
        </is>
      </c>
      <c r="C12" t="n">
        <v>17</v>
      </c>
      <c r="D12" t="n">
        <v>38</v>
      </c>
      <c r="E12" t="n">
        <v>7</v>
      </c>
      <c r="F12" t="n">
        <v>-115</v>
      </c>
      <c r="G12">
        <f>IFERROR(E12*(F12/-105),"")</f>
        <v/>
      </c>
      <c r="H12">
        <f>IFERROR((C12-D12)+E12,"")</f>
        <v/>
      </c>
      <c r="I12" t="n">
        <v>48</v>
      </c>
      <c r="J12">
        <f>IFERROR(I12/2-E12/2,"")</f>
        <v/>
      </c>
      <c r="K12">
        <f>IFERROR(C12-J12,"")</f>
        <v/>
      </c>
      <c r="L12">
        <f>IFERROR(I12/2+E12/2,"")</f>
        <v/>
      </c>
      <c r="M12">
        <f>IFERROR(D12-L12,"")</f>
        <v/>
      </c>
      <c r="N12">
        <f>IFERROR((C12-D12)+G12,"")</f>
        <v/>
      </c>
      <c r="O12">
        <f>IFERROR(I12/2-G12/2,"")</f>
        <v/>
      </c>
      <c r="P12">
        <f>IFERROR(C12-O12,"")</f>
        <v/>
      </c>
      <c r="Q12">
        <f>IFERROR(I12/2+G12/2,"")</f>
        <v/>
      </c>
      <c r="R12">
        <f>IFERROR(D12-Q12,"")</f>
        <v/>
      </c>
      <c r="S12" t="n">
        <v>217</v>
      </c>
      <c r="T12">
        <f>IFERROR(IF(S12&gt;0,100/(100+S12),ABS(S12)/(100+ABS(S12))),"")</f>
        <v/>
      </c>
    </row>
    <row r="13">
      <c r="A13" t="n">
        <v>12</v>
      </c>
      <c r="B13" t="inlineStr">
        <is>
          <t>Mississippi State</t>
        </is>
      </c>
      <c r="C13" t="n">
        <v>49</v>
      </c>
      <c r="D13" t="n">
        <v>27</v>
      </c>
      <c r="E13" t="n">
        <v>-7</v>
      </c>
      <c r="F13" t="n">
        <v>-114</v>
      </c>
      <c r="G13">
        <f>IFERROR(E13*(F13/-105),"")</f>
        <v/>
      </c>
      <c r="H13">
        <f>IFERROR((C13-D13)+E13,"")</f>
        <v/>
      </c>
      <c r="I13" t="n">
        <v>50.5</v>
      </c>
      <c r="J13">
        <f>IFERROR(I13/2-E13/2,"")</f>
        <v/>
      </c>
      <c r="K13">
        <f>IFERROR(C13-J13,"")</f>
        <v/>
      </c>
      <c r="L13">
        <f>IFERROR(I13/2+E13/2,"")</f>
        <v/>
      </c>
      <c r="M13">
        <f>IFERROR(D13-L13,"")</f>
        <v/>
      </c>
      <c r="N13">
        <f>IFERROR((C13-D13)+G13,"")</f>
        <v/>
      </c>
      <c r="O13">
        <f>IFERROR(I13/2-G13/2,"")</f>
        <v/>
      </c>
      <c r="P13">
        <f>IFERROR(C13-O13,"")</f>
        <v/>
      </c>
      <c r="Q13">
        <f>IFERROR(I13/2+G13/2,"")</f>
        <v/>
      </c>
      <c r="R13">
        <f>IFERROR(D13-Q13,"")</f>
        <v/>
      </c>
      <c r="S13" t="n">
        <v>-271</v>
      </c>
      <c r="T13">
        <f>IFERROR(IF(S13&gt;0,100/(100+S13),ABS(S13)/(100+ABS(S13))),"")</f>
        <v/>
      </c>
    </row>
    <row r="14">
      <c r="A14" t="n">
        <v>13</v>
      </c>
      <c r="B14" t="inlineStr">
        <is>
          <t>Oklahoma</t>
        </is>
      </c>
      <c r="C14" t="n">
        <v>6</v>
      </c>
      <c r="D14" t="n">
        <v>17</v>
      </c>
      <c r="E14" t="n">
        <v>5</v>
      </c>
      <c r="F14" t="n">
        <v>-112</v>
      </c>
      <c r="G14">
        <f>IFERROR(E14*(F14/-105),"")</f>
        <v/>
      </c>
      <c r="H14">
        <f>IFERROR((C14-D14)+E14,"")</f>
        <v/>
      </c>
      <c r="I14" t="n">
        <v>42.5</v>
      </c>
      <c r="J14">
        <f>IFERROR(I14/2-E14/2,"")</f>
        <v/>
      </c>
      <c r="K14">
        <f>IFERROR(C14-J14,"")</f>
        <v/>
      </c>
      <c r="L14">
        <f>IFERROR(I14/2+E14/2,"")</f>
        <v/>
      </c>
      <c r="M14">
        <f>IFERROR(D14-L14,"")</f>
        <v/>
      </c>
      <c r="N14">
        <f>IFERROR((C14-D14)+G14,"")</f>
        <v/>
      </c>
      <c r="O14">
        <f>IFERROR(I14/2-G14/2,"")</f>
        <v/>
      </c>
      <c r="P14">
        <f>IFERROR(C14-O14,"")</f>
        <v/>
      </c>
      <c r="Q14">
        <f>IFERROR(I14/2+G14/2,"")</f>
        <v/>
      </c>
      <c r="R14">
        <f>IFERROR(D14-Q14,"")</f>
        <v/>
      </c>
      <c r="S14" t="n">
        <v>184</v>
      </c>
      <c r="T14">
        <f>IFERROR(IF(S14&gt;0,100/(100+S14),ABS(S14)/(100+ABS(S14))),"")</f>
        <v/>
      </c>
    </row>
    <row r="15">
      <c r="A15" t="n">
        <v>14</v>
      </c>
      <c r="B15" t="inlineStr">
        <is>
          <t>Arkansas</t>
        </is>
      </c>
      <c r="C15" t="n">
        <v>31</v>
      </c>
      <c r="D15" t="n">
        <v>17</v>
      </c>
      <c r="E15" t="n">
        <v>-4.5</v>
      </c>
      <c r="F15" t="n">
        <v>-112</v>
      </c>
      <c r="G15">
        <f>IFERROR(E15*(F15/-105),"")</f>
        <v/>
      </c>
      <c r="H15">
        <f>IFERROR((C15-D15)+E15,"")</f>
        <v/>
      </c>
      <c r="I15" t="n">
        <v>54.5</v>
      </c>
      <c r="J15">
        <f>IFERROR(I15/2-E15/2,"")</f>
        <v/>
      </c>
      <c r="K15">
        <f>IFERROR(C15-J15,"")</f>
        <v/>
      </c>
      <c r="L15">
        <f>IFERROR(I15/2+E15/2,"")</f>
        <v/>
      </c>
      <c r="M15">
        <f>IFERROR(D15-L15,"")</f>
        <v/>
      </c>
      <c r="N15">
        <f>IFERROR((C15-D15)+G15,"")</f>
        <v/>
      </c>
      <c r="O15">
        <f>IFERROR(I15/2-G15/2,"")</f>
        <v/>
      </c>
      <c r="P15">
        <f>IFERROR(C15-O15,"")</f>
        <v/>
      </c>
      <c r="Q15">
        <f>IFERROR(I15/2+G15/2,"")</f>
        <v/>
      </c>
      <c r="R15">
        <f>IFERROR(D15-Q15,"")</f>
        <v/>
      </c>
      <c r="S15" t="n">
        <v>-198</v>
      </c>
      <c r="T15">
        <f>IFERROR(IF(S15&gt;0,100/(100+S15),ABS(S15)/(100+ABS(S15))),"")</f>
        <v/>
      </c>
    </row>
    <row r="17">
      <c r="A17" s="3" t="inlineStr">
        <is>
          <t>Net</t>
        </is>
      </c>
      <c r="C17">
        <f>SUM(C4:C15)</f>
        <v/>
      </c>
      <c r="D17">
        <f>SUM(D4:D15)</f>
        <v/>
      </c>
      <c r="E17">
        <f>SUM(E4:E15)</f>
        <v/>
      </c>
      <c r="F17">
        <f>SUM(F4:F15)</f>
        <v/>
      </c>
      <c r="G17">
        <f>SUM(G4:G15)</f>
        <v/>
      </c>
      <c r="H17">
        <f>SUM(H4:H15)</f>
        <v/>
      </c>
      <c r="I17">
        <f>SUM(I4:I15)</f>
        <v/>
      </c>
      <c r="J17">
        <f>SUM(J4:J15)</f>
        <v/>
      </c>
      <c r="K17">
        <f>SUM(K4:K15)</f>
        <v/>
      </c>
      <c r="L17">
        <f>SUM(L4:L15)</f>
        <v/>
      </c>
      <c r="M17">
        <f>SUM(M4:M15)</f>
        <v/>
      </c>
      <c r="N17">
        <f>SUM(N4:N15)</f>
        <v/>
      </c>
      <c r="O17">
        <f>SUM(O4:O15)</f>
        <v/>
      </c>
      <c r="P17">
        <f>SUM(P4:P15)</f>
        <v/>
      </c>
      <c r="Q17">
        <f>SUM(Q4:Q15)</f>
        <v/>
      </c>
      <c r="R17">
        <f>SUM(R4:R15)</f>
        <v/>
      </c>
      <c r="S17">
        <f>SUM(S4:S15)</f>
        <v/>
      </c>
      <c r="T17">
        <f>SUM(T4:T15)</f>
        <v/>
      </c>
    </row>
    <row r="18">
      <c r="A18" s="3" t="inlineStr">
        <is>
          <t>Average</t>
        </is>
      </c>
      <c r="C18">
        <f>IFERROR(AVERAGE(C4:C15),"")</f>
        <v/>
      </c>
      <c r="D18">
        <f>IFERROR(AVERAGE(D4:D15),"")</f>
        <v/>
      </c>
      <c r="E18">
        <f>IFERROR(AVERAGE(E4:E15),"")</f>
        <v/>
      </c>
      <c r="F18">
        <f>IFERROR(AVERAGE(F4:F15),"")</f>
        <v/>
      </c>
      <c r="G18">
        <f>IFERROR(AVERAGE(G4:G15),"")</f>
        <v/>
      </c>
      <c r="H18">
        <f>IFERROR(AVERAGE(H4:H15),"")</f>
        <v/>
      </c>
      <c r="I18">
        <f>IFERROR(AVERAGE(I4:I15),"")</f>
        <v/>
      </c>
      <c r="J18">
        <f>IFERROR(AVERAGE(J4:J15),"")</f>
        <v/>
      </c>
      <c r="K18">
        <f>IFERROR(AVERAGE(K4:K15),"")</f>
        <v/>
      </c>
      <c r="L18">
        <f>IFERROR(AVERAGE(L4:L15),"")</f>
        <v/>
      </c>
      <c r="M18">
        <f>IFERROR(AVERAGE(M4:M15),"")</f>
        <v/>
      </c>
      <c r="N18">
        <f>IFERROR(AVERAGE(N4:N15),"")</f>
        <v/>
      </c>
      <c r="O18">
        <f>IFERROR(AVERAGE(O4:O15),"")</f>
        <v/>
      </c>
      <c r="P18">
        <f>IFERROR(AVERAGE(P4:P15),"")</f>
        <v/>
      </c>
      <c r="Q18">
        <f>IFERROR(AVERAGE(Q4:Q15),"")</f>
        <v/>
      </c>
      <c r="R18">
        <f>IFERROR(AVERAGE(R4:R15),"")</f>
        <v/>
      </c>
      <c r="S18">
        <f>IFERROR(AVERAGE(S4:S15),"")</f>
        <v/>
      </c>
      <c r="T18">
        <f>IFERROR(AVERAGE(T4:T15),"")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2026-05-13T00:58:51Z</dcterms:created>
  <dcterms:modified xmlns:dcterms="http://purl.org/dc/terms/" xmlns:xsi="http://www.w3.org/2001/XMLSchema-instance" xsi:type="dcterms:W3CDTF">2026-05-13T00:58:51Z</dcterms:modified>
</cp:coreProperties>
</file>