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tuatini/Documents/NCAA_UROP/"/>
    </mc:Choice>
  </mc:AlternateContent>
  <xr:revisionPtr revIDLastSave="0" documentId="13_ncr:1_{A2880DA4-7113-7849-9E9C-08EA0FACFCF0}" xr6:coauthVersionLast="47" xr6:coauthVersionMax="47" xr10:uidLastSave="{00000000-0000-0000-0000-000000000000}"/>
  <bookViews>
    <workbookView xWindow="0" yWindow="740" windowWidth="30240" windowHeight="18900" activeTab="1" xr2:uid="{04CFFCC9-2E7A-F940-B1BB-487482EEBDC8}"/>
  </bookViews>
  <sheets>
    <sheet name="Master" sheetId="1" r:id="rId1"/>
    <sheet name="Re-Rankings" sheetId="73" r:id="rId2"/>
    <sheet name="Synthesis - Total" sheetId="72" r:id="rId3"/>
    <sheet name="Synthesis - Average" sheetId="71" r:id="rId4"/>
    <sheet name="Totals_Playoff" sheetId="67" r:id="rId5"/>
    <sheet name="Totals_NonPlayoff" sheetId="68" r:id="rId6"/>
    <sheet name="Average_Playoff" sheetId="69" r:id="rId7"/>
    <sheet name="Average_NonPlayoff" sheetId="70" r:id="rId8"/>
    <sheet name="OREGON" sheetId="3" r:id="rId9"/>
    <sheet name="GEORGIA" sheetId="4" r:id="rId10"/>
    <sheet name="NOTRE DAME" sheetId="6" r:id="rId11"/>
    <sheet name="TEXAS" sheetId="7" r:id="rId12"/>
    <sheet name="PENN STATE" sheetId="9" r:id="rId13"/>
    <sheet name="OHIO STATE" sheetId="11" r:id="rId14"/>
    <sheet name="TENNESSEE" sheetId="12" r:id="rId15"/>
    <sheet name="BOISE STATE" sheetId="13" r:id="rId16"/>
    <sheet name="INDIANA" sheetId="14" r:id="rId17"/>
    <sheet name="ASU" sheetId="16" r:id="rId18"/>
    <sheet name="ALABAMA" sheetId="17" r:id="rId19"/>
    <sheet name="SMU" sheetId="18" r:id="rId20"/>
    <sheet name="CLEMSON" sheetId="20" r:id="rId21"/>
    <sheet name="SOUTH CAROLINA" sheetId="21" r:id="rId22"/>
    <sheet name="MIAMI" sheetId="22" r:id="rId23"/>
    <sheet name="OLE MISS" sheetId="23" r:id="rId24"/>
    <sheet name="BYU" sheetId="24" r:id="rId25"/>
    <sheet name="IOWA STATE" sheetId="25" r:id="rId26"/>
    <sheet name="ARMY" sheetId="26" r:id="rId27"/>
    <sheet name="COLORADO" sheetId="27" r:id="rId28"/>
    <sheet name="ILLINOIS" sheetId="28" r:id="rId29"/>
    <sheet name="SYRACUSE" sheetId="29" r:id="rId30"/>
    <sheet name="MISSOURI" sheetId="30" r:id="rId31"/>
    <sheet name="UNLV" sheetId="31" r:id="rId32"/>
    <sheet name="MEMPHIS" sheetId="32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F18" i="1"/>
  <c r="R17" i="70"/>
  <c r="Q17" i="70"/>
  <c r="P17" i="70"/>
  <c r="O17" i="70"/>
  <c r="N17" i="70"/>
  <c r="M17" i="70"/>
  <c r="L17" i="70"/>
  <c r="K17" i="70"/>
  <c r="J17" i="70"/>
  <c r="I17" i="70"/>
  <c r="H17" i="70"/>
  <c r="G17" i="70"/>
  <c r="F17" i="70"/>
  <c r="E17" i="70"/>
  <c r="D17" i="70"/>
  <c r="C17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C15" i="70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R15" i="69"/>
  <c r="Q15" i="69"/>
  <c r="P15" i="69"/>
  <c r="O15" i="69"/>
  <c r="N15" i="69"/>
  <c r="M15" i="69"/>
  <c r="L15" i="69"/>
  <c r="K15" i="69"/>
  <c r="J15" i="69"/>
  <c r="I15" i="69"/>
  <c r="H15" i="69"/>
  <c r="G15" i="69"/>
  <c r="F15" i="69"/>
  <c r="E15" i="69"/>
  <c r="D15" i="69"/>
  <c r="C15" i="69"/>
  <c r="R14" i="69"/>
  <c r="Q14" i="69"/>
  <c r="P14" i="69"/>
  <c r="O14" i="69"/>
  <c r="N14" i="69"/>
  <c r="M14" i="69"/>
  <c r="L14" i="69"/>
  <c r="K14" i="69"/>
  <c r="J14" i="69"/>
  <c r="I14" i="69"/>
  <c r="H14" i="69"/>
  <c r="G14" i="69"/>
  <c r="F14" i="69"/>
  <c r="E14" i="69"/>
  <c r="D14" i="69"/>
  <c r="C14" i="69"/>
  <c r="J17" i="68"/>
  <c r="J16" i="68"/>
  <c r="J15" i="68"/>
  <c r="D15" i="68"/>
  <c r="E15" i="68"/>
  <c r="F15" i="68"/>
  <c r="G15" i="68"/>
  <c r="H15" i="68"/>
  <c r="I15" i="68"/>
  <c r="K15" i="68"/>
  <c r="L15" i="68"/>
  <c r="M15" i="68"/>
  <c r="N15" i="68"/>
  <c r="O15" i="68"/>
  <c r="P15" i="68"/>
  <c r="Q15" i="68"/>
  <c r="R15" i="68"/>
  <c r="D16" i="68"/>
  <c r="E16" i="68"/>
  <c r="F16" i="68"/>
  <c r="G16" i="68"/>
  <c r="H16" i="68"/>
  <c r="I16" i="68"/>
  <c r="K16" i="68"/>
  <c r="L16" i="68"/>
  <c r="M16" i="68"/>
  <c r="N16" i="68"/>
  <c r="O16" i="68"/>
  <c r="P16" i="68"/>
  <c r="Q16" i="68"/>
  <c r="R16" i="68"/>
  <c r="D17" i="68"/>
  <c r="E17" i="68"/>
  <c r="F17" i="68"/>
  <c r="G17" i="68"/>
  <c r="H17" i="68"/>
  <c r="I17" i="68"/>
  <c r="K17" i="68"/>
  <c r="L17" i="68"/>
  <c r="M17" i="68"/>
  <c r="N17" i="68"/>
  <c r="O17" i="68"/>
  <c r="P17" i="68"/>
  <c r="Q17" i="68"/>
  <c r="R17" i="68"/>
  <c r="C17" i="68"/>
  <c r="C16" i="68"/>
  <c r="C15" i="68"/>
  <c r="E17" i="32"/>
  <c r="F17" i="32"/>
  <c r="E18" i="31"/>
  <c r="F18" i="31"/>
  <c r="E17" i="30"/>
  <c r="F17" i="30"/>
  <c r="E17" i="29"/>
  <c r="F17" i="29"/>
  <c r="F17" i="28"/>
  <c r="E17" i="28"/>
  <c r="E17" i="27"/>
  <c r="F17" i="27"/>
  <c r="E17" i="26"/>
  <c r="F17" i="26"/>
  <c r="E18" i="25"/>
  <c r="F18" i="25"/>
  <c r="E17" i="24"/>
  <c r="F17" i="24"/>
  <c r="E17" i="23"/>
  <c r="F17" i="23"/>
  <c r="E17" i="22"/>
  <c r="F17" i="22"/>
  <c r="E17" i="21"/>
  <c r="F17" i="21"/>
  <c r="E17" i="17"/>
  <c r="F17" i="17"/>
  <c r="E16" i="67"/>
  <c r="F16" i="67"/>
  <c r="G16" i="67"/>
  <c r="H16" i="67"/>
  <c r="I16" i="67"/>
  <c r="J16" i="67"/>
  <c r="K16" i="67"/>
  <c r="L16" i="67"/>
  <c r="M16" i="67"/>
  <c r="N16" i="67"/>
  <c r="O16" i="67"/>
  <c r="P16" i="67"/>
  <c r="Q16" i="67"/>
  <c r="R16" i="67"/>
  <c r="D16" i="67"/>
  <c r="C16" i="67"/>
  <c r="E15" i="67"/>
  <c r="F15" i="67"/>
  <c r="G15" i="67"/>
  <c r="H15" i="67"/>
  <c r="I15" i="67"/>
  <c r="J15" i="67"/>
  <c r="K15" i="67"/>
  <c r="L15" i="67"/>
  <c r="M15" i="67"/>
  <c r="N15" i="67"/>
  <c r="O15" i="67"/>
  <c r="P15" i="67"/>
  <c r="Q15" i="67"/>
  <c r="R15" i="67"/>
  <c r="E14" i="67"/>
  <c r="D15" i="67"/>
  <c r="C15" i="67"/>
  <c r="G14" i="67"/>
  <c r="H14" i="67"/>
  <c r="I14" i="67"/>
  <c r="J14" i="67"/>
  <c r="K14" i="67"/>
  <c r="L14" i="67"/>
  <c r="M14" i="67"/>
  <c r="N14" i="67"/>
  <c r="O14" i="67"/>
  <c r="P14" i="67"/>
  <c r="Q14" i="67"/>
  <c r="R14" i="67"/>
  <c r="D14" i="67"/>
  <c r="F14" i="67"/>
  <c r="C14" i="67"/>
  <c r="F18" i="20"/>
  <c r="E18" i="20"/>
  <c r="E18" i="18"/>
  <c r="F18" i="18"/>
  <c r="E18" i="16"/>
  <c r="F18" i="16"/>
  <c r="E17" i="14"/>
  <c r="F17" i="14"/>
  <c r="E18" i="13"/>
  <c r="F18" i="13"/>
  <c r="E17" i="12"/>
  <c r="F17" i="12"/>
  <c r="E17" i="11"/>
  <c r="F17" i="11"/>
  <c r="E18" i="9"/>
  <c r="F18" i="9"/>
  <c r="C18" i="7"/>
  <c r="E18" i="7"/>
  <c r="F18" i="7"/>
  <c r="E17" i="6"/>
  <c r="F17" i="6"/>
  <c r="E18" i="4"/>
  <c r="F18" i="4"/>
  <c r="F18" i="3"/>
  <c r="E18" i="3"/>
  <c r="S18" i="32"/>
  <c r="I18" i="32"/>
  <c r="F18" i="32"/>
  <c r="E18" i="32"/>
  <c r="D18" i="32"/>
  <c r="C18" i="32"/>
  <c r="I17" i="32"/>
  <c r="D17" i="32"/>
  <c r="C17" i="32"/>
  <c r="T15" i="32"/>
  <c r="L15" i="32"/>
  <c r="M15" i="32" s="1"/>
  <c r="J15" i="32"/>
  <c r="K15" i="32" s="1"/>
  <c r="H15" i="32"/>
  <c r="G15" i="32"/>
  <c r="Q15" i="32" s="1"/>
  <c r="R15" i="32" s="1"/>
  <c r="T14" i="32"/>
  <c r="L14" i="32"/>
  <c r="M14" i="32" s="1"/>
  <c r="J14" i="32"/>
  <c r="K14" i="32" s="1"/>
  <c r="H14" i="32"/>
  <c r="G14" i="32"/>
  <c r="N14" i="32" s="1"/>
  <c r="T13" i="32"/>
  <c r="L13" i="32"/>
  <c r="M13" i="32" s="1"/>
  <c r="J13" i="32"/>
  <c r="K13" i="32" s="1"/>
  <c r="H13" i="32"/>
  <c r="G13" i="32"/>
  <c r="Q13" i="32" s="1"/>
  <c r="R13" i="32" s="1"/>
  <c r="T12" i="32"/>
  <c r="L12" i="32"/>
  <c r="M12" i="32" s="1"/>
  <c r="J12" i="32"/>
  <c r="K12" i="32" s="1"/>
  <c r="H12" i="32"/>
  <c r="G12" i="32"/>
  <c r="O12" i="32" s="1"/>
  <c r="P12" i="32" s="1"/>
  <c r="T11" i="32"/>
  <c r="O11" i="32"/>
  <c r="P11" i="32" s="1"/>
  <c r="L11" i="32"/>
  <c r="M11" i="32" s="1"/>
  <c r="J11" i="32"/>
  <c r="K11" i="32" s="1"/>
  <c r="H11" i="32"/>
  <c r="G11" i="32"/>
  <c r="N11" i="32" s="1"/>
  <c r="T10" i="32"/>
  <c r="Q10" i="32"/>
  <c r="R10" i="32" s="1"/>
  <c r="O10" i="32"/>
  <c r="P10" i="32" s="1"/>
  <c r="N10" i="32"/>
  <c r="L10" i="32"/>
  <c r="M10" i="32" s="1"/>
  <c r="J10" i="32"/>
  <c r="K10" i="32" s="1"/>
  <c r="H10" i="32"/>
  <c r="G10" i="32"/>
  <c r="T9" i="32"/>
  <c r="L9" i="32"/>
  <c r="M9" i="32" s="1"/>
  <c r="J9" i="32"/>
  <c r="H9" i="32"/>
  <c r="G9" i="32"/>
  <c r="Q9" i="32" s="1"/>
  <c r="R9" i="32" s="1"/>
  <c r="T8" i="32"/>
  <c r="L8" i="32"/>
  <c r="M8" i="32" s="1"/>
  <c r="J8" i="32"/>
  <c r="K8" i="32" s="1"/>
  <c r="H8" i="32"/>
  <c r="G8" i="32"/>
  <c r="Q8" i="32" s="1"/>
  <c r="R8" i="32" s="1"/>
  <c r="T7" i="32"/>
  <c r="L7" i="32"/>
  <c r="M7" i="32" s="1"/>
  <c r="J7" i="32"/>
  <c r="K7" i="32" s="1"/>
  <c r="H7" i="32"/>
  <c r="G7" i="32"/>
  <c r="O7" i="32" s="1"/>
  <c r="P7" i="32" s="1"/>
  <c r="T6" i="32"/>
  <c r="L6" i="32"/>
  <c r="M6" i="32" s="1"/>
  <c r="J6" i="32"/>
  <c r="K6" i="32" s="1"/>
  <c r="H6" i="32"/>
  <c r="G6" i="32"/>
  <c r="Q6" i="32" s="1"/>
  <c r="R6" i="32" s="1"/>
  <c r="T5" i="32"/>
  <c r="L5" i="32"/>
  <c r="M5" i="32" s="1"/>
  <c r="J5" i="32"/>
  <c r="K5" i="32" s="1"/>
  <c r="H5" i="32"/>
  <c r="G5" i="32"/>
  <c r="O5" i="32" s="1"/>
  <c r="P5" i="32" s="1"/>
  <c r="T4" i="32"/>
  <c r="L4" i="32"/>
  <c r="M4" i="32" s="1"/>
  <c r="J4" i="32"/>
  <c r="K4" i="32" s="1"/>
  <c r="H4" i="32"/>
  <c r="G4" i="32"/>
  <c r="Q4" i="32" s="1"/>
  <c r="S19" i="31"/>
  <c r="I19" i="31"/>
  <c r="F19" i="31"/>
  <c r="E19" i="31"/>
  <c r="D19" i="31"/>
  <c r="C19" i="31"/>
  <c r="I18" i="31"/>
  <c r="D18" i="31"/>
  <c r="C18" i="31"/>
  <c r="T16" i="31"/>
  <c r="Q16" i="31"/>
  <c r="R16" i="31" s="1"/>
  <c r="O16" i="31"/>
  <c r="P16" i="31" s="1"/>
  <c r="N16" i="31"/>
  <c r="L16" i="31"/>
  <c r="M16" i="31" s="1"/>
  <c r="J16" i="31"/>
  <c r="K16" i="31" s="1"/>
  <c r="H16" i="31"/>
  <c r="G16" i="31"/>
  <c r="T15" i="31"/>
  <c r="L15" i="31"/>
  <c r="M15" i="31" s="1"/>
  <c r="J15" i="31"/>
  <c r="K15" i="31" s="1"/>
  <c r="H15" i="31"/>
  <c r="G15" i="31"/>
  <c r="Q15" i="31" s="1"/>
  <c r="R15" i="31" s="1"/>
  <c r="T14" i="31"/>
  <c r="L14" i="31"/>
  <c r="M14" i="31" s="1"/>
  <c r="J14" i="31"/>
  <c r="K14" i="31" s="1"/>
  <c r="H14" i="31"/>
  <c r="G14" i="31"/>
  <c r="O14" i="31" s="1"/>
  <c r="P14" i="31" s="1"/>
  <c r="T13" i="31"/>
  <c r="L13" i="31"/>
  <c r="M13" i="31" s="1"/>
  <c r="J13" i="31"/>
  <c r="K13" i="31" s="1"/>
  <c r="H13" i="31"/>
  <c r="G13" i="31"/>
  <c r="Q13" i="31" s="1"/>
  <c r="R13" i="31" s="1"/>
  <c r="T12" i="31"/>
  <c r="L12" i="31"/>
  <c r="M12" i="31" s="1"/>
  <c r="J12" i="31"/>
  <c r="K12" i="31" s="1"/>
  <c r="H12" i="31"/>
  <c r="G12" i="31"/>
  <c r="O12" i="31" s="1"/>
  <c r="P12" i="31" s="1"/>
  <c r="T11" i="31"/>
  <c r="Q11" i="31"/>
  <c r="R11" i="31" s="1"/>
  <c r="O11" i="31"/>
  <c r="P11" i="31" s="1"/>
  <c r="L11" i="31"/>
  <c r="M11" i="31" s="1"/>
  <c r="J11" i="31"/>
  <c r="K11" i="31" s="1"/>
  <c r="H11" i="31"/>
  <c r="G11" i="31"/>
  <c r="N11" i="31" s="1"/>
  <c r="T10" i="31"/>
  <c r="Q10" i="31"/>
  <c r="R10" i="31" s="1"/>
  <c r="O10" i="31"/>
  <c r="P10" i="31" s="1"/>
  <c r="N10" i="31"/>
  <c r="L10" i="31"/>
  <c r="M10" i="31" s="1"/>
  <c r="J10" i="31"/>
  <c r="K10" i="31" s="1"/>
  <c r="H10" i="31"/>
  <c r="G10" i="31"/>
  <c r="T9" i="31"/>
  <c r="N9" i="31"/>
  <c r="L9" i="31"/>
  <c r="J9" i="31"/>
  <c r="K9" i="31" s="1"/>
  <c r="H9" i="31"/>
  <c r="G9" i="31"/>
  <c r="Q9" i="31" s="1"/>
  <c r="R9" i="31" s="1"/>
  <c r="T8" i="31"/>
  <c r="L8" i="31"/>
  <c r="J8" i="31"/>
  <c r="H8" i="31"/>
  <c r="G8" i="31"/>
  <c r="T7" i="31"/>
  <c r="L7" i="31"/>
  <c r="M7" i="31" s="1"/>
  <c r="J7" i="31"/>
  <c r="K7" i="31" s="1"/>
  <c r="H7" i="31"/>
  <c r="G7" i="31"/>
  <c r="Q7" i="31" s="1"/>
  <c r="R7" i="31" s="1"/>
  <c r="T6" i="31"/>
  <c r="L6" i="31"/>
  <c r="M6" i="31" s="1"/>
  <c r="J6" i="31"/>
  <c r="K6" i="31" s="1"/>
  <c r="H6" i="31"/>
  <c r="G6" i="31"/>
  <c r="Q6" i="31" s="1"/>
  <c r="R6" i="31" s="1"/>
  <c r="T5" i="31"/>
  <c r="Q5" i="31"/>
  <c r="R5" i="31" s="1"/>
  <c r="L5" i="31"/>
  <c r="M5" i="31" s="1"/>
  <c r="J5" i="31"/>
  <c r="K5" i="31" s="1"/>
  <c r="H5" i="31"/>
  <c r="G5" i="31"/>
  <c r="O5" i="31" s="1"/>
  <c r="P5" i="31" s="1"/>
  <c r="T4" i="31"/>
  <c r="L4" i="31"/>
  <c r="M4" i="31" s="1"/>
  <c r="J4" i="31"/>
  <c r="K4" i="31" s="1"/>
  <c r="H4" i="31"/>
  <c r="H18" i="31" s="1"/>
  <c r="G4" i="31"/>
  <c r="G18" i="31" s="1"/>
  <c r="S18" i="30"/>
  <c r="I18" i="30"/>
  <c r="F18" i="30"/>
  <c r="E18" i="30"/>
  <c r="D18" i="30"/>
  <c r="C18" i="30"/>
  <c r="I17" i="30"/>
  <c r="D17" i="30"/>
  <c r="C17" i="30"/>
  <c r="T15" i="30"/>
  <c r="L15" i="30"/>
  <c r="M15" i="30" s="1"/>
  <c r="J15" i="30"/>
  <c r="K15" i="30" s="1"/>
  <c r="H15" i="30"/>
  <c r="G15" i="30"/>
  <c r="Q15" i="30" s="1"/>
  <c r="R15" i="30" s="1"/>
  <c r="T14" i="30"/>
  <c r="L14" i="30"/>
  <c r="M14" i="30" s="1"/>
  <c r="J14" i="30"/>
  <c r="K14" i="30" s="1"/>
  <c r="H14" i="30"/>
  <c r="G14" i="30"/>
  <c r="Q14" i="30" s="1"/>
  <c r="R14" i="30" s="1"/>
  <c r="T13" i="30"/>
  <c r="L13" i="30"/>
  <c r="M13" i="30" s="1"/>
  <c r="J13" i="30"/>
  <c r="K13" i="30" s="1"/>
  <c r="H13" i="30"/>
  <c r="G13" i="30"/>
  <c r="Q13" i="30" s="1"/>
  <c r="R13" i="30" s="1"/>
  <c r="T12" i="30"/>
  <c r="L12" i="30"/>
  <c r="M12" i="30" s="1"/>
  <c r="J12" i="30"/>
  <c r="K12" i="30" s="1"/>
  <c r="H12" i="30"/>
  <c r="G12" i="30"/>
  <c r="O12" i="30" s="1"/>
  <c r="P12" i="30" s="1"/>
  <c r="T11" i="30"/>
  <c r="L11" i="30"/>
  <c r="M11" i="30" s="1"/>
  <c r="J11" i="30"/>
  <c r="K11" i="30" s="1"/>
  <c r="H11" i="30"/>
  <c r="G11" i="30"/>
  <c r="Q11" i="30" s="1"/>
  <c r="R11" i="30" s="1"/>
  <c r="T10" i="30"/>
  <c r="L10" i="30"/>
  <c r="M10" i="30" s="1"/>
  <c r="J10" i="30"/>
  <c r="K10" i="30" s="1"/>
  <c r="H10" i="30"/>
  <c r="G10" i="30"/>
  <c r="Q10" i="30" s="1"/>
  <c r="R10" i="30" s="1"/>
  <c r="T9" i="30"/>
  <c r="L9" i="30"/>
  <c r="J9" i="30"/>
  <c r="H9" i="30"/>
  <c r="G9" i="30"/>
  <c r="Q9" i="30" s="1"/>
  <c r="R9" i="30" s="1"/>
  <c r="T8" i="30"/>
  <c r="L8" i="30"/>
  <c r="M8" i="30" s="1"/>
  <c r="J8" i="30"/>
  <c r="H8" i="30"/>
  <c r="G8" i="30"/>
  <c r="Q8" i="30" s="1"/>
  <c r="R8" i="30" s="1"/>
  <c r="T7" i="30"/>
  <c r="L7" i="30"/>
  <c r="M7" i="30" s="1"/>
  <c r="J7" i="30"/>
  <c r="K7" i="30" s="1"/>
  <c r="H7" i="30"/>
  <c r="G7" i="30"/>
  <c r="O7" i="30" s="1"/>
  <c r="P7" i="30" s="1"/>
  <c r="T6" i="30"/>
  <c r="L6" i="30"/>
  <c r="J6" i="30"/>
  <c r="K6" i="30" s="1"/>
  <c r="H6" i="30"/>
  <c r="G6" i="30"/>
  <c r="Q6" i="30" s="1"/>
  <c r="R6" i="30" s="1"/>
  <c r="T5" i="30"/>
  <c r="L5" i="30"/>
  <c r="M5" i="30" s="1"/>
  <c r="J5" i="30"/>
  <c r="K5" i="30" s="1"/>
  <c r="H5" i="30"/>
  <c r="G5" i="30"/>
  <c r="O5" i="30" s="1"/>
  <c r="P5" i="30" s="1"/>
  <c r="T4" i="30"/>
  <c r="Q4" i="30"/>
  <c r="O4" i="30"/>
  <c r="P4" i="30" s="1"/>
  <c r="L4" i="30"/>
  <c r="M4" i="30" s="1"/>
  <c r="J4" i="30"/>
  <c r="K4" i="30" s="1"/>
  <c r="H4" i="30"/>
  <c r="G4" i="30"/>
  <c r="S18" i="29"/>
  <c r="I18" i="29"/>
  <c r="F18" i="29"/>
  <c r="E18" i="29"/>
  <c r="D18" i="29"/>
  <c r="C18" i="29"/>
  <c r="I17" i="29"/>
  <c r="D17" i="29"/>
  <c r="C17" i="29"/>
  <c r="T15" i="29"/>
  <c r="L15" i="29"/>
  <c r="M15" i="29" s="1"/>
  <c r="J15" i="29"/>
  <c r="K15" i="29" s="1"/>
  <c r="H15" i="29"/>
  <c r="G15" i="29"/>
  <c r="Q15" i="29" s="1"/>
  <c r="R15" i="29" s="1"/>
  <c r="T14" i="29"/>
  <c r="L14" i="29"/>
  <c r="M14" i="29" s="1"/>
  <c r="J14" i="29"/>
  <c r="K14" i="29" s="1"/>
  <c r="H14" i="29"/>
  <c r="G14" i="29"/>
  <c r="Q14" i="29" s="1"/>
  <c r="R14" i="29" s="1"/>
  <c r="T13" i="29"/>
  <c r="L13" i="29"/>
  <c r="M13" i="29" s="1"/>
  <c r="J13" i="29"/>
  <c r="K13" i="29" s="1"/>
  <c r="H13" i="29"/>
  <c r="G13" i="29"/>
  <c r="Q13" i="29" s="1"/>
  <c r="R13" i="29" s="1"/>
  <c r="T12" i="29"/>
  <c r="L12" i="29"/>
  <c r="M12" i="29" s="1"/>
  <c r="J12" i="29"/>
  <c r="K12" i="29" s="1"/>
  <c r="H12" i="29"/>
  <c r="G12" i="29"/>
  <c r="O12" i="29" s="1"/>
  <c r="P12" i="29" s="1"/>
  <c r="T11" i="29"/>
  <c r="L11" i="29"/>
  <c r="M11" i="29" s="1"/>
  <c r="J11" i="29"/>
  <c r="K11" i="29" s="1"/>
  <c r="H11" i="29"/>
  <c r="G11" i="29"/>
  <c r="Q11" i="29" s="1"/>
  <c r="R11" i="29" s="1"/>
  <c r="T10" i="29"/>
  <c r="Q10" i="29"/>
  <c r="R10" i="29" s="1"/>
  <c r="N10" i="29"/>
  <c r="L10" i="29"/>
  <c r="M10" i="29" s="1"/>
  <c r="J10" i="29"/>
  <c r="K10" i="29" s="1"/>
  <c r="H10" i="29"/>
  <c r="G10" i="29"/>
  <c r="O10" i="29" s="1"/>
  <c r="P10" i="29" s="1"/>
  <c r="T9" i="29"/>
  <c r="L9" i="29"/>
  <c r="M9" i="29" s="1"/>
  <c r="J9" i="29"/>
  <c r="H9" i="29"/>
  <c r="G9" i="29"/>
  <c r="Q9" i="29" s="1"/>
  <c r="R9" i="29" s="1"/>
  <c r="T8" i="29"/>
  <c r="L8" i="29"/>
  <c r="J8" i="29"/>
  <c r="H8" i="29"/>
  <c r="G8" i="29"/>
  <c r="Q8" i="29" s="1"/>
  <c r="R8" i="29" s="1"/>
  <c r="T7" i="29"/>
  <c r="L7" i="29"/>
  <c r="M7" i="29" s="1"/>
  <c r="J7" i="29"/>
  <c r="K7" i="29" s="1"/>
  <c r="H7" i="29"/>
  <c r="G7" i="29"/>
  <c r="Q7" i="29" s="1"/>
  <c r="R7" i="29" s="1"/>
  <c r="T6" i="29"/>
  <c r="L6" i="29"/>
  <c r="M6" i="29" s="1"/>
  <c r="J6" i="29"/>
  <c r="K6" i="29" s="1"/>
  <c r="H6" i="29"/>
  <c r="G6" i="29"/>
  <c r="Q6" i="29" s="1"/>
  <c r="R6" i="29" s="1"/>
  <c r="T5" i="29"/>
  <c r="L5" i="29"/>
  <c r="M5" i="29" s="1"/>
  <c r="J5" i="29"/>
  <c r="K5" i="29" s="1"/>
  <c r="H5" i="29"/>
  <c r="G5" i="29"/>
  <c r="O5" i="29" s="1"/>
  <c r="P5" i="29" s="1"/>
  <c r="T4" i="29"/>
  <c r="Q4" i="29"/>
  <c r="R4" i="29" s="1"/>
  <c r="O4" i="29"/>
  <c r="P4" i="29" s="1"/>
  <c r="L4" i="29"/>
  <c r="M4" i="29" s="1"/>
  <c r="J4" i="29"/>
  <c r="K4" i="29" s="1"/>
  <c r="H4" i="29"/>
  <c r="G4" i="29"/>
  <c r="S18" i="28"/>
  <c r="I18" i="28"/>
  <c r="F18" i="28"/>
  <c r="E18" i="28"/>
  <c r="D18" i="28"/>
  <c r="C18" i="28"/>
  <c r="I17" i="28"/>
  <c r="D17" i="28"/>
  <c r="C17" i="28"/>
  <c r="T15" i="28"/>
  <c r="L15" i="28"/>
  <c r="M15" i="28" s="1"/>
  <c r="J15" i="28"/>
  <c r="K15" i="28" s="1"/>
  <c r="H15" i="28"/>
  <c r="G15" i="28"/>
  <c r="Q15" i="28" s="1"/>
  <c r="R15" i="28" s="1"/>
  <c r="T14" i="28"/>
  <c r="M14" i="28"/>
  <c r="L14" i="28"/>
  <c r="J14" i="28"/>
  <c r="K14" i="28" s="1"/>
  <c r="H14" i="28"/>
  <c r="G14" i="28"/>
  <c r="Q14" i="28" s="1"/>
  <c r="R14" i="28" s="1"/>
  <c r="T13" i="28"/>
  <c r="L13" i="28"/>
  <c r="M13" i="28" s="1"/>
  <c r="J13" i="28"/>
  <c r="K13" i="28" s="1"/>
  <c r="H13" i="28"/>
  <c r="G13" i="28"/>
  <c r="Q13" i="28" s="1"/>
  <c r="R13" i="28" s="1"/>
  <c r="T12" i="28"/>
  <c r="L12" i="28"/>
  <c r="M12" i="28" s="1"/>
  <c r="J12" i="28"/>
  <c r="K12" i="28" s="1"/>
  <c r="H12" i="28"/>
  <c r="G12" i="28"/>
  <c r="O12" i="28" s="1"/>
  <c r="P12" i="28" s="1"/>
  <c r="T11" i="28"/>
  <c r="L11" i="28"/>
  <c r="M11" i="28" s="1"/>
  <c r="J11" i="28"/>
  <c r="K11" i="28" s="1"/>
  <c r="H11" i="28"/>
  <c r="G11" i="28"/>
  <c r="O11" i="28" s="1"/>
  <c r="P11" i="28" s="1"/>
  <c r="T10" i="28"/>
  <c r="O10" i="28"/>
  <c r="P10" i="28" s="1"/>
  <c r="N10" i="28"/>
  <c r="L10" i="28"/>
  <c r="M10" i="28" s="1"/>
  <c r="J10" i="28"/>
  <c r="K10" i="28" s="1"/>
  <c r="H10" i="28"/>
  <c r="G10" i="28"/>
  <c r="Q10" i="28" s="1"/>
  <c r="R10" i="28" s="1"/>
  <c r="T9" i="28"/>
  <c r="L9" i="28"/>
  <c r="M9" i="28" s="1"/>
  <c r="J9" i="28"/>
  <c r="K9" i="28" s="1"/>
  <c r="H9" i="28"/>
  <c r="G9" i="28"/>
  <c r="Q9" i="28" s="1"/>
  <c r="R9" i="28" s="1"/>
  <c r="T8" i="28"/>
  <c r="L8" i="28"/>
  <c r="M8" i="28" s="1"/>
  <c r="J8" i="28"/>
  <c r="H8" i="28"/>
  <c r="G8" i="28"/>
  <c r="Q8" i="28" s="1"/>
  <c r="R8" i="28" s="1"/>
  <c r="T7" i="28"/>
  <c r="L7" i="28"/>
  <c r="M7" i="28" s="1"/>
  <c r="J7" i="28"/>
  <c r="K7" i="28" s="1"/>
  <c r="H7" i="28"/>
  <c r="G7" i="28"/>
  <c r="Q7" i="28" s="1"/>
  <c r="R7" i="28" s="1"/>
  <c r="T6" i="28"/>
  <c r="L6" i="28"/>
  <c r="M6" i="28" s="1"/>
  <c r="J6" i="28"/>
  <c r="K6" i="28" s="1"/>
  <c r="H6" i="28"/>
  <c r="G6" i="28"/>
  <c r="Q6" i="28" s="1"/>
  <c r="R6" i="28" s="1"/>
  <c r="T5" i="28"/>
  <c r="L5" i="28"/>
  <c r="M5" i="28" s="1"/>
  <c r="J5" i="28"/>
  <c r="K5" i="28" s="1"/>
  <c r="H5" i="28"/>
  <c r="G5" i="28"/>
  <c r="O5" i="28" s="1"/>
  <c r="P5" i="28" s="1"/>
  <c r="T4" i="28"/>
  <c r="L4" i="28"/>
  <c r="M4" i="28" s="1"/>
  <c r="J4" i="28"/>
  <c r="K4" i="28" s="1"/>
  <c r="H4" i="28"/>
  <c r="G4" i="28"/>
  <c r="Q4" i="28" s="1"/>
  <c r="C17" i="27"/>
  <c r="S18" i="27"/>
  <c r="I18" i="27"/>
  <c r="F18" i="27"/>
  <c r="E18" i="27"/>
  <c r="D18" i="27"/>
  <c r="C18" i="27"/>
  <c r="I17" i="27"/>
  <c r="D17" i="27"/>
  <c r="T15" i="27"/>
  <c r="L15" i="27"/>
  <c r="M15" i="27" s="1"/>
  <c r="J15" i="27"/>
  <c r="K15" i="27" s="1"/>
  <c r="H15" i="27"/>
  <c r="G15" i="27"/>
  <c r="N15" i="27" s="1"/>
  <c r="T14" i="27"/>
  <c r="L14" i="27"/>
  <c r="M14" i="27" s="1"/>
  <c r="J14" i="27"/>
  <c r="K14" i="27" s="1"/>
  <c r="H14" i="27"/>
  <c r="G14" i="27"/>
  <c r="O14" i="27" s="1"/>
  <c r="P14" i="27" s="1"/>
  <c r="T13" i="27"/>
  <c r="L13" i="27"/>
  <c r="M13" i="27" s="1"/>
  <c r="J13" i="27"/>
  <c r="K13" i="27" s="1"/>
  <c r="H13" i="27"/>
  <c r="G13" i="27"/>
  <c r="Q13" i="27" s="1"/>
  <c r="R13" i="27" s="1"/>
  <c r="T12" i="27"/>
  <c r="L12" i="27"/>
  <c r="M12" i="27" s="1"/>
  <c r="J12" i="27"/>
  <c r="K12" i="27" s="1"/>
  <c r="H12" i="27"/>
  <c r="G12" i="27"/>
  <c r="O12" i="27" s="1"/>
  <c r="P12" i="27" s="1"/>
  <c r="T11" i="27"/>
  <c r="L11" i="27"/>
  <c r="M11" i="27" s="1"/>
  <c r="J11" i="27"/>
  <c r="K11" i="27" s="1"/>
  <c r="H11" i="27"/>
  <c r="G11" i="27"/>
  <c r="O11" i="27" s="1"/>
  <c r="P11" i="27" s="1"/>
  <c r="T10" i="27"/>
  <c r="L10" i="27"/>
  <c r="M10" i="27" s="1"/>
  <c r="J10" i="27"/>
  <c r="K10" i="27" s="1"/>
  <c r="H10" i="27"/>
  <c r="G10" i="27"/>
  <c r="Q10" i="27" s="1"/>
  <c r="R10" i="27" s="1"/>
  <c r="T9" i="27"/>
  <c r="L9" i="27"/>
  <c r="M9" i="27" s="1"/>
  <c r="J9" i="27"/>
  <c r="H9" i="27"/>
  <c r="G9" i="27"/>
  <c r="Q9" i="27" s="1"/>
  <c r="R9" i="27" s="1"/>
  <c r="T8" i="27"/>
  <c r="L8" i="27"/>
  <c r="M8" i="27" s="1"/>
  <c r="J8" i="27"/>
  <c r="K8" i="27" s="1"/>
  <c r="H8" i="27"/>
  <c r="G8" i="27"/>
  <c r="Q8" i="27" s="1"/>
  <c r="R8" i="27" s="1"/>
  <c r="T7" i="27"/>
  <c r="L7" i="27"/>
  <c r="M7" i="27" s="1"/>
  <c r="J7" i="27"/>
  <c r="K7" i="27" s="1"/>
  <c r="H7" i="27"/>
  <c r="G7" i="27"/>
  <c r="Q7" i="27" s="1"/>
  <c r="R7" i="27" s="1"/>
  <c r="T6" i="27"/>
  <c r="L6" i="27"/>
  <c r="M6" i="27" s="1"/>
  <c r="J6" i="27"/>
  <c r="K6" i="27" s="1"/>
  <c r="H6" i="27"/>
  <c r="G6" i="27"/>
  <c r="Q6" i="27" s="1"/>
  <c r="R6" i="27" s="1"/>
  <c r="T5" i="27"/>
  <c r="L5" i="27"/>
  <c r="M5" i="27" s="1"/>
  <c r="J5" i="27"/>
  <c r="K5" i="27" s="1"/>
  <c r="H5" i="27"/>
  <c r="G5" i="27"/>
  <c r="O5" i="27" s="1"/>
  <c r="P5" i="27" s="1"/>
  <c r="T4" i="27"/>
  <c r="L4" i="27"/>
  <c r="M4" i="27" s="1"/>
  <c r="J4" i="27"/>
  <c r="K4" i="27" s="1"/>
  <c r="H4" i="27"/>
  <c r="G4" i="27"/>
  <c r="S18" i="26"/>
  <c r="I18" i="26"/>
  <c r="F18" i="26"/>
  <c r="E18" i="26"/>
  <c r="D18" i="26"/>
  <c r="C18" i="26"/>
  <c r="I17" i="26"/>
  <c r="D17" i="26"/>
  <c r="C17" i="26"/>
  <c r="T15" i="26"/>
  <c r="L15" i="26"/>
  <c r="M15" i="26" s="1"/>
  <c r="J15" i="26"/>
  <c r="K15" i="26" s="1"/>
  <c r="H15" i="26"/>
  <c r="G15" i="26"/>
  <c r="Q15" i="26" s="1"/>
  <c r="R15" i="26" s="1"/>
  <c r="T14" i="26"/>
  <c r="L14" i="26"/>
  <c r="M14" i="26" s="1"/>
  <c r="J14" i="26"/>
  <c r="K14" i="26" s="1"/>
  <c r="H14" i="26"/>
  <c r="G14" i="26"/>
  <c r="O14" i="26" s="1"/>
  <c r="P14" i="26" s="1"/>
  <c r="T13" i="26"/>
  <c r="L13" i="26"/>
  <c r="M13" i="26" s="1"/>
  <c r="J13" i="26"/>
  <c r="K13" i="26" s="1"/>
  <c r="H13" i="26"/>
  <c r="G13" i="26"/>
  <c r="Q13" i="26" s="1"/>
  <c r="R13" i="26" s="1"/>
  <c r="T12" i="26"/>
  <c r="L12" i="26"/>
  <c r="M12" i="26" s="1"/>
  <c r="J12" i="26"/>
  <c r="K12" i="26" s="1"/>
  <c r="H12" i="26"/>
  <c r="G12" i="26"/>
  <c r="O12" i="26" s="1"/>
  <c r="P12" i="26" s="1"/>
  <c r="T11" i="26"/>
  <c r="L11" i="26"/>
  <c r="M11" i="26" s="1"/>
  <c r="J11" i="26"/>
  <c r="K11" i="26" s="1"/>
  <c r="H11" i="26"/>
  <c r="G11" i="26"/>
  <c r="Q11" i="26" s="1"/>
  <c r="R11" i="26" s="1"/>
  <c r="T10" i="26"/>
  <c r="L10" i="26"/>
  <c r="M10" i="26" s="1"/>
  <c r="J10" i="26"/>
  <c r="K10" i="26" s="1"/>
  <c r="H10" i="26"/>
  <c r="G10" i="26"/>
  <c r="Q10" i="26" s="1"/>
  <c r="R10" i="26" s="1"/>
  <c r="T9" i="26"/>
  <c r="L9" i="26"/>
  <c r="J9" i="26"/>
  <c r="H9" i="26"/>
  <c r="G9" i="26"/>
  <c r="Q9" i="26" s="1"/>
  <c r="R9" i="26" s="1"/>
  <c r="T8" i="26"/>
  <c r="L8" i="26"/>
  <c r="M8" i="26" s="1"/>
  <c r="J8" i="26"/>
  <c r="H8" i="26"/>
  <c r="G8" i="26"/>
  <c r="Q8" i="26" s="1"/>
  <c r="R8" i="26" s="1"/>
  <c r="T7" i="26"/>
  <c r="L7" i="26"/>
  <c r="M7" i="26" s="1"/>
  <c r="J7" i="26"/>
  <c r="K7" i="26" s="1"/>
  <c r="H7" i="26"/>
  <c r="G7" i="26"/>
  <c r="Q7" i="26" s="1"/>
  <c r="R7" i="26" s="1"/>
  <c r="T6" i="26"/>
  <c r="L6" i="26"/>
  <c r="M6" i="26" s="1"/>
  <c r="J6" i="26"/>
  <c r="K6" i="26" s="1"/>
  <c r="H6" i="26"/>
  <c r="G6" i="26"/>
  <c r="Q6" i="26" s="1"/>
  <c r="R6" i="26" s="1"/>
  <c r="T5" i="26"/>
  <c r="L5" i="26"/>
  <c r="M5" i="26" s="1"/>
  <c r="J5" i="26"/>
  <c r="K5" i="26" s="1"/>
  <c r="H5" i="26"/>
  <c r="G5" i="26"/>
  <c r="O5" i="26" s="1"/>
  <c r="P5" i="26" s="1"/>
  <c r="T4" i="26"/>
  <c r="Q4" i="26"/>
  <c r="O4" i="26"/>
  <c r="L4" i="26"/>
  <c r="M4" i="26" s="1"/>
  <c r="J4" i="26"/>
  <c r="K4" i="26" s="1"/>
  <c r="H4" i="26"/>
  <c r="G4" i="26"/>
  <c r="N4" i="26" s="1"/>
  <c r="S19" i="25"/>
  <c r="I19" i="25"/>
  <c r="F19" i="25"/>
  <c r="E19" i="25"/>
  <c r="D19" i="25"/>
  <c r="C19" i="25"/>
  <c r="I18" i="25"/>
  <c r="D18" i="25"/>
  <c r="C18" i="25"/>
  <c r="T16" i="25"/>
  <c r="Q16" i="25"/>
  <c r="R16" i="25" s="1"/>
  <c r="O16" i="25"/>
  <c r="P16" i="25" s="1"/>
  <c r="L16" i="25"/>
  <c r="M16" i="25" s="1"/>
  <c r="J16" i="25"/>
  <c r="K16" i="25" s="1"/>
  <c r="H16" i="25"/>
  <c r="G16" i="25"/>
  <c r="N16" i="25" s="1"/>
  <c r="T15" i="25"/>
  <c r="L15" i="25"/>
  <c r="M15" i="25" s="1"/>
  <c r="J15" i="25"/>
  <c r="K15" i="25" s="1"/>
  <c r="H15" i="25"/>
  <c r="G15" i="25"/>
  <c r="Q15" i="25" s="1"/>
  <c r="R15" i="25" s="1"/>
  <c r="T14" i="25"/>
  <c r="L14" i="25"/>
  <c r="M14" i="25" s="1"/>
  <c r="J14" i="25"/>
  <c r="K14" i="25" s="1"/>
  <c r="H14" i="25"/>
  <c r="G14" i="25"/>
  <c r="Q14" i="25" s="1"/>
  <c r="R14" i="25" s="1"/>
  <c r="T13" i="25"/>
  <c r="L13" i="25"/>
  <c r="M13" i="25" s="1"/>
  <c r="J13" i="25"/>
  <c r="K13" i="25" s="1"/>
  <c r="H13" i="25"/>
  <c r="G13" i="25"/>
  <c r="Q13" i="25" s="1"/>
  <c r="R13" i="25" s="1"/>
  <c r="T12" i="25"/>
  <c r="L12" i="25"/>
  <c r="M12" i="25" s="1"/>
  <c r="J12" i="25"/>
  <c r="K12" i="25" s="1"/>
  <c r="H12" i="25"/>
  <c r="G12" i="25"/>
  <c r="O12" i="25" s="1"/>
  <c r="P12" i="25" s="1"/>
  <c r="T11" i="25"/>
  <c r="L11" i="25"/>
  <c r="M11" i="25" s="1"/>
  <c r="J11" i="25"/>
  <c r="K11" i="25" s="1"/>
  <c r="H11" i="25"/>
  <c r="G11" i="25"/>
  <c r="Q11" i="25" s="1"/>
  <c r="R11" i="25" s="1"/>
  <c r="T10" i="25"/>
  <c r="Q10" i="25"/>
  <c r="R10" i="25" s="1"/>
  <c r="O10" i="25"/>
  <c r="P10" i="25" s="1"/>
  <c r="N10" i="25"/>
  <c r="L10" i="25"/>
  <c r="M10" i="25" s="1"/>
  <c r="K10" i="25"/>
  <c r="J10" i="25"/>
  <c r="H10" i="25"/>
  <c r="G10" i="25"/>
  <c r="T9" i="25"/>
  <c r="L9" i="25"/>
  <c r="J9" i="25"/>
  <c r="K9" i="25" s="1"/>
  <c r="H9" i="25"/>
  <c r="G9" i="25"/>
  <c r="Q9" i="25" s="1"/>
  <c r="R9" i="25" s="1"/>
  <c r="T8" i="25"/>
  <c r="L8" i="25"/>
  <c r="J8" i="25"/>
  <c r="K8" i="25" s="1"/>
  <c r="H8" i="25"/>
  <c r="G8" i="25"/>
  <c r="Q8" i="25" s="1"/>
  <c r="R8" i="25" s="1"/>
  <c r="T7" i="25"/>
  <c r="L7" i="25"/>
  <c r="M7" i="25" s="1"/>
  <c r="J7" i="25"/>
  <c r="K7" i="25" s="1"/>
  <c r="H7" i="25"/>
  <c r="G7" i="25"/>
  <c r="Q7" i="25" s="1"/>
  <c r="R7" i="25" s="1"/>
  <c r="T6" i="25"/>
  <c r="L6" i="25"/>
  <c r="M6" i="25" s="1"/>
  <c r="J6" i="25"/>
  <c r="K6" i="25" s="1"/>
  <c r="H6" i="25"/>
  <c r="G6" i="25"/>
  <c r="Q6" i="25" s="1"/>
  <c r="R6" i="25" s="1"/>
  <c r="T5" i="25"/>
  <c r="L5" i="25"/>
  <c r="M5" i="25" s="1"/>
  <c r="J5" i="25"/>
  <c r="K5" i="25" s="1"/>
  <c r="H5" i="25"/>
  <c r="G5" i="25"/>
  <c r="O5" i="25" s="1"/>
  <c r="P5" i="25" s="1"/>
  <c r="T4" i="25"/>
  <c r="Q4" i="25"/>
  <c r="R4" i="25" s="1"/>
  <c r="O4" i="25"/>
  <c r="P4" i="25" s="1"/>
  <c r="N4" i="25"/>
  <c r="L4" i="25"/>
  <c r="M4" i="25" s="1"/>
  <c r="J4" i="25"/>
  <c r="K4" i="25" s="1"/>
  <c r="H4" i="25"/>
  <c r="G4" i="25"/>
  <c r="S18" i="24"/>
  <c r="I18" i="24"/>
  <c r="F18" i="24"/>
  <c r="E18" i="24"/>
  <c r="D18" i="24"/>
  <c r="C18" i="24"/>
  <c r="I17" i="24"/>
  <c r="D17" i="24"/>
  <c r="C17" i="24"/>
  <c r="T15" i="24"/>
  <c r="L15" i="24"/>
  <c r="M15" i="24" s="1"/>
  <c r="J15" i="24"/>
  <c r="K15" i="24" s="1"/>
  <c r="H15" i="24"/>
  <c r="G15" i="24"/>
  <c r="O15" i="24" s="1"/>
  <c r="P15" i="24" s="1"/>
  <c r="T14" i="24"/>
  <c r="L14" i="24"/>
  <c r="M14" i="24" s="1"/>
  <c r="J14" i="24"/>
  <c r="K14" i="24" s="1"/>
  <c r="H14" i="24"/>
  <c r="G14" i="24"/>
  <c r="O14" i="24" s="1"/>
  <c r="P14" i="24" s="1"/>
  <c r="T13" i="24"/>
  <c r="L13" i="24"/>
  <c r="M13" i="24" s="1"/>
  <c r="J13" i="24"/>
  <c r="K13" i="24" s="1"/>
  <c r="H13" i="24"/>
  <c r="G13" i="24"/>
  <c r="Q13" i="24" s="1"/>
  <c r="R13" i="24" s="1"/>
  <c r="T12" i="24"/>
  <c r="L12" i="24"/>
  <c r="M12" i="24" s="1"/>
  <c r="J12" i="24"/>
  <c r="K12" i="24" s="1"/>
  <c r="H12" i="24"/>
  <c r="G12" i="24"/>
  <c r="O12" i="24" s="1"/>
  <c r="P12" i="24" s="1"/>
  <c r="T11" i="24"/>
  <c r="L11" i="24"/>
  <c r="M11" i="24" s="1"/>
  <c r="J11" i="24"/>
  <c r="K11" i="24" s="1"/>
  <c r="H11" i="24"/>
  <c r="G11" i="24"/>
  <c r="O11" i="24" s="1"/>
  <c r="P11" i="24" s="1"/>
  <c r="T10" i="24"/>
  <c r="Q10" i="24"/>
  <c r="R10" i="24" s="1"/>
  <c r="O10" i="24"/>
  <c r="P10" i="24" s="1"/>
  <c r="N10" i="24"/>
  <c r="L10" i="24"/>
  <c r="M10" i="24" s="1"/>
  <c r="J10" i="24"/>
  <c r="K10" i="24" s="1"/>
  <c r="H10" i="24"/>
  <c r="G10" i="24"/>
  <c r="T9" i="24"/>
  <c r="L9" i="24"/>
  <c r="M9" i="24" s="1"/>
  <c r="J9" i="24"/>
  <c r="K9" i="24" s="1"/>
  <c r="H9" i="24"/>
  <c r="G9" i="24"/>
  <c r="Q9" i="24" s="1"/>
  <c r="R9" i="24" s="1"/>
  <c r="T8" i="24"/>
  <c r="L8" i="24"/>
  <c r="M8" i="24" s="1"/>
  <c r="J8" i="24"/>
  <c r="K8" i="24" s="1"/>
  <c r="H8" i="24"/>
  <c r="G8" i="24"/>
  <c r="N8" i="24" s="1"/>
  <c r="T7" i="24"/>
  <c r="L7" i="24"/>
  <c r="M7" i="24" s="1"/>
  <c r="J7" i="24"/>
  <c r="K7" i="24" s="1"/>
  <c r="H7" i="24"/>
  <c r="G7" i="24"/>
  <c r="Q7" i="24" s="1"/>
  <c r="R7" i="24" s="1"/>
  <c r="T6" i="24"/>
  <c r="L6" i="24"/>
  <c r="M6" i="24" s="1"/>
  <c r="J6" i="24"/>
  <c r="K6" i="24" s="1"/>
  <c r="H6" i="24"/>
  <c r="G6" i="24"/>
  <c r="Q6" i="24" s="1"/>
  <c r="R6" i="24" s="1"/>
  <c r="T5" i="24"/>
  <c r="L5" i="24"/>
  <c r="M5" i="24" s="1"/>
  <c r="J5" i="24"/>
  <c r="K5" i="24" s="1"/>
  <c r="H5" i="24"/>
  <c r="G5" i="24"/>
  <c r="O5" i="24" s="1"/>
  <c r="P5" i="24" s="1"/>
  <c r="T4" i="24"/>
  <c r="L4" i="24"/>
  <c r="M4" i="24" s="1"/>
  <c r="J4" i="24"/>
  <c r="K4" i="24" s="1"/>
  <c r="H4" i="24"/>
  <c r="G4" i="24"/>
  <c r="N4" i="24" s="1"/>
  <c r="S18" i="23"/>
  <c r="I18" i="23"/>
  <c r="F18" i="23"/>
  <c r="E18" i="23"/>
  <c r="D18" i="23"/>
  <c r="C18" i="23"/>
  <c r="I17" i="23"/>
  <c r="D17" i="23"/>
  <c r="C17" i="23"/>
  <c r="T15" i="23"/>
  <c r="L15" i="23"/>
  <c r="M15" i="23" s="1"/>
  <c r="J15" i="23"/>
  <c r="K15" i="23" s="1"/>
  <c r="H15" i="23"/>
  <c r="G15" i="23"/>
  <c r="O15" i="23" s="1"/>
  <c r="P15" i="23" s="1"/>
  <c r="T14" i="23"/>
  <c r="L14" i="23"/>
  <c r="M14" i="23" s="1"/>
  <c r="J14" i="23"/>
  <c r="K14" i="23" s="1"/>
  <c r="H14" i="23"/>
  <c r="G14" i="23"/>
  <c r="O14" i="23" s="1"/>
  <c r="P14" i="23" s="1"/>
  <c r="T13" i="23"/>
  <c r="L13" i="23"/>
  <c r="M13" i="23" s="1"/>
  <c r="J13" i="23"/>
  <c r="K13" i="23" s="1"/>
  <c r="H13" i="23"/>
  <c r="G13" i="23"/>
  <c r="Q13" i="23" s="1"/>
  <c r="R13" i="23" s="1"/>
  <c r="T12" i="23"/>
  <c r="L12" i="23"/>
  <c r="M12" i="23" s="1"/>
  <c r="J12" i="23"/>
  <c r="K12" i="23" s="1"/>
  <c r="H12" i="23"/>
  <c r="G12" i="23"/>
  <c r="O12" i="23" s="1"/>
  <c r="P12" i="23" s="1"/>
  <c r="T11" i="23"/>
  <c r="L11" i="23"/>
  <c r="M11" i="23" s="1"/>
  <c r="J11" i="23"/>
  <c r="K11" i="23" s="1"/>
  <c r="H11" i="23"/>
  <c r="G11" i="23"/>
  <c r="Q11" i="23" s="1"/>
  <c r="R11" i="23" s="1"/>
  <c r="T10" i="23"/>
  <c r="L10" i="23"/>
  <c r="M10" i="23" s="1"/>
  <c r="J10" i="23"/>
  <c r="K10" i="23" s="1"/>
  <c r="H10" i="23"/>
  <c r="G10" i="23"/>
  <c r="Q10" i="23" s="1"/>
  <c r="R10" i="23" s="1"/>
  <c r="T9" i="23"/>
  <c r="L9" i="23"/>
  <c r="J9" i="23"/>
  <c r="H9" i="23"/>
  <c r="G9" i="23"/>
  <c r="Q9" i="23" s="1"/>
  <c r="R9" i="23" s="1"/>
  <c r="T8" i="23"/>
  <c r="L8" i="23"/>
  <c r="M8" i="23" s="1"/>
  <c r="J8" i="23"/>
  <c r="H8" i="23"/>
  <c r="G8" i="23"/>
  <c r="Q8" i="23" s="1"/>
  <c r="R8" i="23" s="1"/>
  <c r="T7" i="23"/>
  <c r="L7" i="23"/>
  <c r="M7" i="23" s="1"/>
  <c r="J7" i="23"/>
  <c r="K7" i="23" s="1"/>
  <c r="H7" i="23"/>
  <c r="G7" i="23"/>
  <c r="Q7" i="23" s="1"/>
  <c r="R7" i="23" s="1"/>
  <c r="T6" i="23"/>
  <c r="L6" i="23"/>
  <c r="M6" i="23" s="1"/>
  <c r="J6" i="23"/>
  <c r="K6" i="23" s="1"/>
  <c r="H6" i="23"/>
  <c r="G6" i="23"/>
  <c r="Q6" i="23" s="1"/>
  <c r="R6" i="23" s="1"/>
  <c r="T5" i="23"/>
  <c r="L5" i="23"/>
  <c r="M5" i="23" s="1"/>
  <c r="J5" i="23"/>
  <c r="K5" i="23" s="1"/>
  <c r="H5" i="23"/>
  <c r="G5" i="23"/>
  <c r="O5" i="23" s="1"/>
  <c r="P5" i="23" s="1"/>
  <c r="T4" i="23"/>
  <c r="L4" i="23"/>
  <c r="M4" i="23" s="1"/>
  <c r="J4" i="23"/>
  <c r="K4" i="23" s="1"/>
  <c r="H4" i="23"/>
  <c r="G4" i="23"/>
  <c r="O4" i="23" s="1"/>
  <c r="S18" i="22"/>
  <c r="I18" i="22"/>
  <c r="F18" i="22"/>
  <c r="E18" i="22"/>
  <c r="D18" i="22"/>
  <c r="C18" i="22"/>
  <c r="I17" i="22"/>
  <c r="D17" i="22"/>
  <c r="C17" i="22"/>
  <c r="T15" i="22"/>
  <c r="L15" i="22"/>
  <c r="M15" i="22" s="1"/>
  <c r="J15" i="22"/>
  <c r="K15" i="22" s="1"/>
  <c r="H15" i="22"/>
  <c r="G15" i="22"/>
  <c r="O15" i="22" s="1"/>
  <c r="P15" i="22" s="1"/>
  <c r="T14" i="22"/>
  <c r="L14" i="22"/>
  <c r="M14" i="22" s="1"/>
  <c r="J14" i="22"/>
  <c r="K14" i="22" s="1"/>
  <c r="H14" i="22"/>
  <c r="G14" i="22"/>
  <c r="Q14" i="22" s="1"/>
  <c r="R14" i="22" s="1"/>
  <c r="T13" i="22"/>
  <c r="L13" i="22"/>
  <c r="M13" i="22" s="1"/>
  <c r="J13" i="22"/>
  <c r="K13" i="22" s="1"/>
  <c r="H13" i="22"/>
  <c r="G13" i="22"/>
  <c r="Q13" i="22" s="1"/>
  <c r="R13" i="22" s="1"/>
  <c r="T12" i="22"/>
  <c r="L12" i="22"/>
  <c r="M12" i="22" s="1"/>
  <c r="J12" i="22"/>
  <c r="K12" i="22" s="1"/>
  <c r="H12" i="22"/>
  <c r="G12" i="22"/>
  <c r="O12" i="22" s="1"/>
  <c r="P12" i="22" s="1"/>
  <c r="T11" i="22"/>
  <c r="L11" i="22"/>
  <c r="M11" i="22" s="1"/>
  <c r="J11" i="22"/>
  <c r="K11" i="22" s="1"/>
  <c r="H11" i="22"/>
  <c r="G11" i="22"/>
  <c r="Q11" i="22" s="1"/>
  <c r="R11" i="22" s="1"/>
  <c r="T10" i="22"/>
  <c r="Q10" i="22"/>
  <c r="R10" i="22" s="1"/>
  <c r="O10" i="22"/>
  <c r="P10" i="22" s="1"/>
  <c r="N10" i="22"/>
  <c r="L10" i="22"/>
  <c r="M10" i="22" s="1"/>
  <c r="J10" i="22"/>
  <c r="K10" i="22" s="1"/>
  <c r="H10" i="22"/>
  <c r="G10" i="22"/>
  <c r="T9" i="22"/>
  <c r="L9" i="22"/>
  <c r="J9" i="22"/>
  <c r="H9" i="22"/>
  <c r="G9" i="22"/>
  <c r="Q9" i="22" s="1"/>
  <c r="R9" i="22" s="1"/>
  <c r="T8" i="22"/>
  <c r="L8" i="22"/>
  <c r="M8" i="22" s="1"/>
  <c r="J8" i="22"/>
  <c r="K8" i="22" s="1"/>
  <c r="H8" i="22"/>
  <c r="G8" i="22"/>
  <c r="O8" i="22" s="1"/>
  <c r="P8" i="22" s="1"/>
  <c r="T7" i="22"/>
  <c r="L7" i="22"/>
  <c r="M7" i="22" s="1"/>
  <c r="J7" i="22"/>
  <c r="K7" i="22" s="1"/>
  <c r="H7" i="22"/>
  <c r="G7" i="22"/>
  <c r="N7" i="22" s="1"/>
  <c r="T6" i="22"/>
  <c r="L6" i="22"/>
  <c r="M6" i="22" s="1"/>
  <c r="J6" i="22"/>
  <c r="K6" i="22" s="1"/>
  <c r="H6" i="22"/>
  <c r="G6" i="22"/>
  <c r="Q6" i="22" s="1"/>
  <c r="R6" i="22" s="1"/>
  <c r="T5" i="22"/>
  <c r="L5" i="22"/>
  <c r="M5" i="22" s="1"/>
  <c r="J5" i="22"/>
  <c r="K5" i="22" s="1"/>
  <c r="H5" i="22"/>
  <c r="G5" i="22"/>
  <c r="O5" i="22" s="1"/>
  <c r="T4" i="22"/>
  <c r="Q4" i="22"/>
  <c r="L4" i="22"/>
  <c r="M4" i="22" s="1"/>
  <c r="J4" i="22"/>
  <c r="K4" i="22" s="1"/>
  <c r="H4" i="22"/>
  <c r="G4" i="22"/>
  <c r="O4" i="22" s="1"/>
  <c r="P4" i="22" s="1"/>
  <c r="S18" i="21"/>
  <c r="I18" i="21"/>
  <c r="F18" i="21"/>
  <c r="E18" i="21"/>
  <c r="D18" i="21"/>
  <c r="C18" i="21"/>
  <c r="I17" i="21"/>
  <c r="D17" i="21"/>
  <c r="C17" i="21"/>
  <c r="T15" i="21"/>
  <c r="L15" i="21"/>
  <c r="M15" i="21" s="1"/>
  <c r="J15" i="21"/>
  <c r="K15" i="21" s="1"/>
  <c r="H15" i="21"/>
  <c r="G15" i="21"/>
  <c r="Q15" i="21" s="1"/>
  <c r="R15" i="21" s="1"/>
  <c r="T14" i="21"/>
  <c r="L14" i="21"/>
  <c r="M14" i="21" s="1"/>
  <c r="J14" i="21"/>
  <c r="K14" i="21" s="1"/>
  <c r="H14" i="21"/>
  <c r="G14" i="21"/>
  <c r="O14" i="21" s="1"/>
  <c r="P14" i="21" s="1"/>
  <c r="T13" i="21"/>
  <c r="L13" i="21"/>
  <c r="M13" i="21" s="1"/>
  <c r="J13" i="21"/>
  <c r="K13" i="21" s="1"/>
  <c r="H13" i="21"/>
  <c r="G13" i="21"/>
  <c r="Q13" i="21" s="1"/>
  <c r="R13" i="21" s="1"/>
  <c r="T12" i="21"/>
  <c r="L12" i="21"/>
  <c r="M12" i="21" s="1"/>
  <c r="J12" i="21"/>
  <c r="K12" i="21" s="1"/>
  <c r="H12" i="21"/>
  <c r="G12" i="21"/>
  <c r="O12" i="21" s="1"/>
  <c r="P12" i="21" s="1"/>
  <c r="T11" i="21"/>
  <c r="L11" i="21"/>
  <c r="M11" i="21" s="1"/>
  <c r="J11" i="21"/>
  <c r="K11" i="21" s="1"/>
  <c r="H11" i="21"/>
  <c r="G11" i="21"/>
  <c r="Q11" i="21" s="1"/>
  <c r="R11" i="21" s="1"/>
  <c r="T10" i="21"/>
  <c r="Q10" i="21"/>
  <c r="R10" i="21" s="1"/>
  <c r="O10" i="21"/>
  <c r="P10" i="21" s="1"/>
  <c r="N10" i="21"/>
  <c r="L10" i="21"/>
  <c r="M10" i="21" s="1"/>
  <c r="J10" i="21"/>
  <c r="K10" i="21" s="1"/>
  <c r="H10" i="21"/>
  <c r="G10" i="21"/>
  <c r="T9" i="21"/>
  <c r="Q9" i="21"/>
  <c r="R9" i="21" s="1"/>
  <c r="L9" i="21"/>
  <c r="J9" i="21"/>
  <c r="H9" i="21"/>
  <c r="G9" i="21"/>
  <c r="O9" i="21" s="1"/>
  <c r="P9" i="21" s="1"/>
  <c r="T8" i="21"/>
  <c r="L8" i="21"/>
  <c r="M8" i="21" s="1"/>
  <c r="J8" i="21"/>
  <c r="H8" i="21"/>
  <c r="G8" i="21"/>
  <c r="T7" i="21"/>
  <c r="L7" i="21"/>
  <c r="M7" i="21" s="1"/>
  <c r="J7" i="21"/>
  <c r="K7" i="21" s="1"/>
  <c r="H7" i="21"/>
  <c r="G7" i="21"/>
  <c r="O7" i="21" s="1"/>
  <c r="P7" i="21" s="1"/>
  <c r="T6" i="21"/>
  <c r="L6" i="21"/>
  <c r="M6" i="21" s="1"/>
  <c r="J6" i="21"/>
  <c r="K6" i="21" s="1"/>
  <c r="H6" i="21"/>
  <c r="G6" i="21"/>
  <c r="Q6" i="21" s="1"/>
  <c r="R6" i="21" s="1"/>
  <c r="T5" i="21"/>
  <c r="L5" i="21"/>
  <c r="M5" i="21" s="1"/>
  <c r="J5" i="21"/>
  <c r="K5" i="21" s="1"/>
  <c r="H5" i="21"/>
  <c r="G5" i="21"/>
  <c r="O5" i="21" s="1"/>
  <c r="P5" i="21" s="1"/>
  <c r="T4" i="21"/>
  <c r="Q4" i="21"/>
  <c r="L4" i="21"/>
  <c r="M4" i="21" s="1"/>
  <c r="J4" i="21"/>
  <c r="K4" i="21" s="1"/>
  <c r="H4" i="21"/>
  <c r="G4" i="21"/>
  <c r="S19" i="20"/>
  <c r="I19" i="20"/>
  <c r="F19" i="20"/>
  <c r="E19" i="20"/>
  <c r="D19" i="20"/>
  <c r="C19" i="20"/>
  <c r="I18" i="20"/>
  <c r="D18" i="20"/>
  <c r="C18" i="20"/>
  <c r="T16" i="20"/>
  <c r="Q16" i="20"/>
  <c r="R16" i="20" s="1"/>
  <c r="O16" i="20"/>
  <c r="P16" i="20" s="1"/>
  <c r="N16" i="20"/>
  <c r="L16" i="20"/>
  <c r="M16" i="20" s="1"/>
  <c r="J16" i="20"/>
  <c r="K16" i="20" s="1"/>
  <c r="H16" i="20"/>
  <c r="G16" i="20"/>
  <c r="T15" i="20"/>
  <c r="L15" i="20"/>
  <c r="M15" i="20" s="1"/>
  <c r="J15" i="20"/>
  <c r="K15" i="20" s="1"/>
  <c r="H15" i="20"/>
  <c r="G15" i="20"/>
  <c r="O15" i="20" s="1"/>
  <c r="P15" i="20" s="1"/>
  <c r="T14" i="20"/>
  <c r="L14" i="20"/>
  <c r="M14" i="20" s="1"/>
  <c r="J14" i="20"/>
  <c r="K14" i="20" s="1"/>
  <c r="H14" i="20"/>
  <c r="G14" i="20"/>
  <c r="O14" i="20" s="1"/>
  <c r="P14" i="20" s="1"/>
  <c r="T13" i="20"/>
  <c r="L13" i="20"/>
  <c r="M13" i="20" s="1"/>
  <c r="J13" i="20"/>
  <c r="K13" i="20" s="1"/>
  <c r="H13" i="20"/>
  <c r="G13" i="20"/>
  <c r="Q13" i="20" s="1"/>
  <c r="R13" i="20" s="1"/>
  <c r="T12" i="20"/>
  <c r="L12" i="20"/>
  <c r="M12" i="20" s="1"/>
  <c r="J12" i="20"/>
  <c r="K12" i="20" s="1"/>
  <c r="H12" i="20"/>
  <c r="G12" i="20"/>
  <c r="O12" i="20" s="1"/>
  <c r="P12" i="20" s="1"/>
  <c r="T11" i="20"/>
  <c r="Q11" i="20"/>
  <c r="R11" i="20" s="1"/>
  <c r="L11" i="20"/>
  <c r="M11" i="20" s="1"/>
  <c r="J11" i="20"/>
  <c r="K11" i="20" s="1"/>
  <c r="H11" i="20"/>
  <c r="G11" i="20"/>
  <c r="O11" i="20" s="1"/>
  <c r="P11" i="20" s="1"/>
  <c r="T10" i="20"/>
  <c r="Q10" i="20"/>
  <c r="R10" i="20" s="1"/>
  <c r="O10" i="20"/>
  <c r="P10" i="20" s="1"/>
  <c r="N10" i="20"/>
  <c r="L10" i="20"/>
  <c r="M10" i="20" s="1"/>
  <c r="J10" i="20"/>
  <c r="K10" i="20" s="1"/>
  <c r="H10" i="20"/>
  <c r="G10" i="20"/>
  <c r="T9" i="20"/>
  <c r="L9" i="20"/>
  <c r="M9" i="20" s="1"/>
  <c r="J9" i="20"/>
  <c r="H9" i="20"/>
  <c r="G9" i="20"/>
  <c r="N9" i="20" s="1"/>
  <c r="T8" i="20"/>
  <c r="L8" i="20"/>
  <c r="M8" i="20" s="1"/>
  <c r="J8" i="20"/>
  <c r="K8" i="20" s="1"/>
  <c r="H8" i="20"/>
  <c r="G8" i="20"/>
  <c r="O8" i="20" s="1"/>
  <c r="P8" i="20" s="1"/>
  <c r="T7" i="20"/>
  <c r="L7" i="20"/>
  <c r="M7" i="20" s="1"/>
  <c r="J7" i="20"/>
  <c r="K7" i="20" s="1"/>
  <c r="H7" i="20"/>
  <c r="G7" i="20"/>
  <c r="Q7" i="20" s="1"/>
  <c r="R7" i="20" s="1"/>
  <c r="T6" i="20"/>
  <c r="L6" i="20"/>
  <c r="M6" i="20" s="1"/>
  <c r="J6" i="20"/>
  <c r="K6" i="20" s="1"/>
  <c r="H6" i="20"/>
  <c r="G6" i="20"/>
  <c r="Q6" i="20" s="1"/>
  <c r="R6" i="20" s="1"/>
  <c r="T5" i="20"/>
  <c r="L5" i="20"/>
  <c r="M5" i="20" s="1"/>
  <c r="J5" i="20"/>
  <c r="K5" i="20" s="1"/>
  <c r="H5" i="20"/>
  <c r="G5" i="20"/>
  <c r="O5" i="20" s="1"/>
  <c r="P5" i="20" s="1"/>
  <c r="T4" i="20"/>
  <c r="Q4" i="20"/>
  <c r="O4" i="20"/>
  <c r="N4" i="20"/>
  <c r="L4" i="20"/>
  <c r="M4" i="20" s="1"/>
  <c r="J4" i="20"/>
  <c r="K4" i="20" s="1"/>
  <c r="H4" i="20"/>
  <c r="G4" i="20"/>
  <c r="S19" i="18"/>
  <c r="I19" i="18"/>
  <c r="F19" i="18"/>
  <c r="E19" i="18"/>
  <c r="D19" i="18"/>
  <c r="C19" i="18"/>
  <c r="I18" i="18"/>
  <c r="D18" i="18"/>
  <c r="C18" i="18"/>
  <c r="T16" i="18"/>
  <c r="Q16" i="18"/>
  <c r="R16" i="18" s="1"/>
  <c r="O16" i="18"/>
  <c r="P16" i="18" s="1"/>
  <c r="N16" i="18"/>
  <c r="L16" i="18"/>
  <c r="M16" i="18" s="1"/>
  <c r="J16" i="18"/>
  <c r="K16" i="18" s="1"/>
  <c r="H16" i="18"/>
  <c r="G16" i="18"/>
  <c r="T15" i="18"/>
  <c r="L15" i="18"/>
  <c r="M15" i="18" s="1"/>
  <c r="J15" i="18"/>
  <c r="K15" i="18" s="1"/>
  <c r="H15" i="18"/>
  <c r="G15" i="18"/>
  <c r="Q15" i="18" s="1"/>
  <c r="R15" i="18" s="1"/>
  <c r="T14" i="18"/>
  <c r="L14" i="18"/>
  <c r="M14" i="18" s="1"/>
  <c r="J14" i="18"/>
  <c r="K14" i="18" s="1"/>
  <c r="H14" i="18"/>
  <c r="G14" i="18"/>
  <c r="O14" i="18" s="1"/>
  <c r="P14" i="18" s="1"/>
  <c r="T13" i="18"/>
  <c r="L13" i="18"/>
  <c r="M13" i="18" s="1"/>
  <c r="J13" i="18"/>
  <c r="K13" i="18" s="1"/>
  <c r="H13" i="18"/>
  <c r="G13" i="18"/>
  <c r="Q13" i="18" s="1"/>
  <c r="R13" i="18" s="1"/>
  <c r="T12" i="18"/>
  <c r="L12" i="18"/>
  <c r="M12" i="18" s="1"/>
  <c r="J12" i="18"/>
  <c r="K12" i="18" s="1"/>
  <c r="H12" i="18"/>
  <c r="G12" i="18"/>
  <c r="O12" i="18" s="1"/>
  <c r="P12" i="18" s="1"/>
  <c r="T11" i="18"/>
  <c r="Q11" i="18"/>
  <c r="R11" i="18" s="1"/>
  <c r="L11" i="18"/>
  <c r="M11" i="18" s="1"/>
  <c r="J11" i="18"/>
  <c r="K11" i="18" s="1"/>
  <c r="H11" i="18"/>
  <c r="G11" i="18"/>
  <c r="O11" i="18" s="1"/>
  <c r="P11" i="18" s="1"/>
  <c r="T10" i="18"/>
  <c r="Q10" i="18"/>
  <c r="R10" i="18" s="1"/>
  <c r="O10" i="18"/>
  <c r="P10" i="18" s="1"/>
  <c r="N10" i="18"/>
  <c r="L10" i="18"/>
  <c r="M10" i="18" s="1"/>
  <c r="J10" i="18"/>
  <c r="K10" i="18" s="1"/>
  <c r="H10" i="18"/>
  <c r="G10" i="18"/>
  <c r="T9" i="18"/>
  <c r="L9" i="18"/>
  <c r="J9" i="18"/>
  <c r="K9" i="18" s="1"/>
  <c r="H9" i="18"/>
  <c r="G9" i="18"/>
  <c r="Q9" i="18" s="1"/>
  <c r="R9" i="18" s="1"/>
  <c r="T8" i="18"/>
  <c r="L8" i="18"/>
  <c r="M8" i="18" s="1"/>
  <c r="J8" i="18"/>
  <c r="H8" i="18"/>
  <c r="G8" i="18"/>
  <c r="T7" i="18"/>
  <c r="M7" i="18"/>
  <c r="L7" i="18"/>
  <c r="J7" i="18"/>
  <c r="K7" i="18" s="1"/>
  <c r="H7" i="18"/>
  <c r="G7" i="18"/>
  <c r="N7" i="18" s="1"/>
  <c r="T6" i="18"/>
  <c r="L6" i="18"/>
  <c r="M6" i="18" s="1"/>
  <c r="J6" i="18"/>
  <c r="K6" i="18" s="1"/>
  <c r="H6" i="18"/>
  <c r="G6" i="18"/>
  <c r="Q6" i="18" s="1"/>
  <c r="R6" i="18" s="1"/>
  <c r="T5" i="18"/>
  <c r="L5" i="18"/>
  <c r="M5" i="18" s="1"/>
  <c r="J5" i="18"/>
  <c r="K5" i="18" s="1"/>
  <c r="H5" i="18"/>
  <c r="G5" i="18"/>
  <c r="O5" i="18" s="1"/>
  <c r="P5" i="18" s="1"/>
  <c r="T4" i="18"/>
  <c r="Q4" i="18"/>
  <c r="O4" i="18"/>
  <c r="N4" i="18"/>
  <c r="L4" i="18"/>
  <c r="M4" i="18" s="1"/>
  <c r="J4" i="18"/>
  <c r="K4" i="18" s="1"/>
  <c r="H4" i="18"/>
  <c r="G4" i="18"/>
  <c r="S18" i="17"/>
  <c r="I18" i="17"/>
  <c r="F18" i="17"/>
  <c r="E18" i="17"/>
  <c r="D18" i="17"/>
  <c r="C18" i="17"/>
  <c r="I17" i="17"/>
  <c r="D17" i="17"/>
  <c r="C17" i="17"/>
  <c r="T15" i="17"/>
  <c r="L15" i="17"/>
  <c r="M15" i="17" s="1"/>
  <c r="J15" i="17"/>
  <c r="K15" i="17" s="1"/>
  <c r="H15" i="17"/>
  <c r="G15" i="17"/>
  <c r="Q15" i="17" s="1"/>
  <c r="R15" i="17" s="1"/>
  <c r="T14" i="17"/>
  <c r="L14" i="17"/>
  <c r="M14" i="17" s="1"/>
  <c r="J14" i="17"/>
  <c r="K14" i="17" s="1"/>
  <c r="H14" i="17"/>
  <c r="G14" i="17"/>
  <c r="Q14" i="17" s="1"/>
  <c r="R14" i="17" s="1"/>
  <c r="T13" i="17"/>
  <c r="L13" i="17"/>
  <c r="M13" i="17" s="1"/>
  <c r="J13" i="17"/>
  <c r="K13" i="17" s="1"/>
  <c r="H13" i="17"/>
  <c r="G13" i="17"/>
  <c r="Q13" i="17" s="1"/>
  <c r="R13" i="17" s="1"/>
  <c r="T12" i="17"/>
  <c r="L12" i="17"/>
  <c r="M12" i="17" s="1"/>
  <c r="J12" i="17"/>
  <c r="K12" i="17" s="1"/>
  <c r="H12" i="17"/>
  <c r="G12" i="17"/>
  <c r="O12" i="17" s="1"/>
  <c r="P12" i="17" s="1"/>
  <c r="T11" i="17"/>
  <c r="L11" i="17"/>
  <c r="M11" i="17" s="1"/>
  <c r="J11" i="17"/>
  <c r="K11" i="17" s="1"/>
  <c r="H11" i="17"/>
  <c r="G11" i="17"/>
  <c r="Q11" i="17" s="1"/>
  <c r="R11" i="17" s="1"/>
  <c r="T10" i="17"/>
  <c r="L10" i="17"/>
  <c r="M10" i="17" s="1"/>
  <c r="J10" i="17"/>
  <c r="K10" i="17" s="1"/>
  <c r="H10" i="17"/>
  <c r="G10" i="17"/>
  <c r="Q10" i="17" s="1"/>
  <c r="R10" i="17" s="1"/>
  <c r="T9" i="17"/>
  <c r="L9" i="17"/>
  <c r="J9" i="17"/>
  <c r="K9" i="17" s="1"/>
  <c r="H9" i="17"/>
  <c r="G9" i="17"/>
  <c r="Q9" i="17" s="1"/>
  <c r="R9" i="17" s="1"/>
  <c r="T8" i="17"/>
  <c r="L8" i="17"/>
  <c r="M8" i="17" s="1"/>
  <c r="J8" i="17"/>
  <c r="H8" i="17"/>
  <c r="G8" i="17"/>
  <c r="Q8" i="17" s="1"/>
  <c r="R8" i="17" s="1"/>
  <c r="T7" i="17"/>
  <c r="L7" i="17"/>
  <c r="M7" i="17" s="1"/>
  <c r="J7" i="17"/>
  <c r="K7" i="17" s="1"/>
  <c r="H7" i="17"/>
  <c r="G7" i="17"/>
  <c r="Q7" i="17" s="1"/>
  <c r="R7" i="17" s="1"/>
  <c r="T6" i="17"/>
  <c r="L6" i="17"/>
  <c r="J6" i="17"/>
  <c r="K6" i="17" s="1"/>
  <c r="H6" i="17"/>
  <c r="G6" i="17"/>
  <c r="Q6" i="17" s="1"/>
  <c r="R6" i="17" s="1"/>
  <c r="T5" i="17"/>
  <c r="L5" i="17"/>
  <c r="M5" i="17" s="1"/>
  <c r="J5" i="17"/>
  <c r="K5" i="17" s="1"/>
  <c r="H5" i="17"/>
  <c r="G5" i="17"/>
  <c r="O5" i="17" s="1"/>
  <c r="P5" i="17" s="1"/>
  <c r="T4" i="17"/>
  <c r="Q4" i="17"/>
  <c r="O4" i="17"/>
  <c r="P4" i="17" s="1"/>
  <c r="L4" i="17"/>
  <c r="M4" i="17" s="1"/>
  <c r="J4" i="17"/>
  <c r="K4" i="17" s="1"/>
  <c r="H4" i="17"/>
  <c r="G4" i="17"/>
  <c r="N4" i="17" s="1"/>
  <c r="S19" i="16"/>
  <c r="I19" i="16"/>
  <c r="F19" i="16"/>
  <c r="E19" i="16"/>
  <c r="D19" i="16"/>
  <c r="C19" i="16"/>
  <c r="I18" i="16"/>
  <c r="D18" i="16"/>
  <c r="C18" i="16"/>
  <c r="T16" i="16"/>
  <c r="Q16" i="16"/>
  <c r="R16" i="16" s="1"/>
  <c r="O16" i="16"/>
  <c r="P16" i="16" s="1"/>
  <c r="N16" i="16"/>
  <c r="L16" i="16"/>
  <c r="M16" i="16" s="1"/>
  <c r="J16" i="16"/>
  <c r="K16" i="16" s="1"/>
  <c r="H16" i="16"/>
  <c r="G16" i="16"/>
  <c r="T15" i="16"/>
  <c r="L15" i="16"/>
  <c r="M15" i="16" s="1"/>
  <c r="J15" i="16"/>
  <c r="K15" i="16" s="1"/>
  <c r="H15" i="16"/>
  <c r="G15" i="16"/>
  <c r="Q15" i="16" s="1"/>
  <c r="R15" i="16" s="1"/>
  <c r="T14" i="16"/>
  <c r="L14" i="16"/>
  <c r="M14" i="16" s="1"/>
  <c r="J14" i="16"/>
  <c r="K14" i="16" s="1"/>
  <c r="H14" i="16"/>
  <c r="G14" i="16"/>
  <c r="N14" i="16" s="1"/>
  <c r="T13" i="16"/>
  <c r="L13" i="16"/>
  <c r="M13" i="16" s="1"/>
  <c r="J13" i="16"/>
  <c r="K13" i="16" s="1"/>
  <c r="H13" i="16"/>
  <c r="G13" i="16"/>
  <c r="Q13" i="16" s="1"/>
  <c r="R13" i="16" s="1"/>
  <c r="T12" i="16"/>
  <c r="L12" i="16"/>
  <c r="M12" i="16" s="1"/>
  <c r="J12" i="16"/>
  <c r="K12" i="16" s="1"/>
  <c r="H12" i="16"/>
  <c r="G12" i="16"/>
  <c r="O12" i="16" s="1"/>
  <c r="P12" i="16" s="1"/>
  <c r="T11" i="16"/>
  <c r="Q11" i="16"/>
  <c r="R11" i="16" s="1"/>
  <c r="L11" i="16"/>
  <c r="M11" i="16" s="1"/>
  <c r="J11" i="16"/>
  <c r="K11" i="16" s="1"/>
  <c r="H11" i="16"/>
  <c r="G11" i="16"/>
  <c r="O11" i="16" s="1"/>
  <c r="P11" i="16" s="1"/>
  <c r="T10" i="16"/>
  <c r="Q10" i="16"/>
  <c r="R10" i="16" s="1"/>
  <c r="O10" i="16"/>
  <c r="P10" i="16" s="1"/>
  <c r="N10" i="16"/>
  <c r="L10" i="16"/>
  <c r="M10" i="16" s="1"/>
  <c r="J10" i="16"/>
  <c r="K10" i="16" s="1"/>
  <c r="H10" i="16"/>
  <c r="G10" i="16"/>
  <c r="T9" i="16"/>
  <c r="L9" i="16"/>
  <c r="M9" i="16" s="1"/>
  <c r="J9" i="16"/>
  <c r="K9" i="16" s="1"/>
  <c r="H9" i="16"/>
  <c r="G9" i="16"/>
  <c r="Q9" i="16" s="1"/>
  <c r="R9" i="16" s="1"/>
  <c r="T8" i="16"/>
  <c r="L8" i="16"/>
  <c r="M8" i="16" s="1"/>
  <c r="J8" i="16"/>
  <c r="K8" i="16" s="1"/>
  <c r="H8" i="16"/>
  <c r="G8" i="16"/>
  <c r="Q8" i="16" s="1"/>
  <c r="R8" i="16" s="1"/>
  <c r="T7" i="16"/>
  <c r="L7" i="16"/>
  <c r="M7" i="16" s="1"/>
  <c r="J7" i="16"/>
  <c r="K7" i="16" s="1"/>
  <c r="H7" i="16"/>
  <c r="G7" i="16"/>
  <c r="O7" i="16" s="1"/>
  <c r="P7" i="16" s="1"/>
  <c r="T6" i="16"/>
  <c r="L6" i="16"/>
  <c r="M6" i="16" s="1"/>
  <c r="J6" i="16"/>
  <c r="K6" i="16" s="1"/>
  <c r="H6" i="16"/>
  <c r="G6" i="16"/>
  <c r="Q6" i="16" s="1"/>
  <c r="R6" i="16" s="1"/>
  <c r="T5" i="16"/>
  <c r="L5" i="16"/>
  <c r="M5" i="16" s="1"/>
  <c r="J5" i="16"/>
  <c r="K5" i="16" s="1"/>
  <c r="H5" i="16"/>
  <c r="G5" i="16"/>
  <c r="O5" i="16" s="1"/>
  <c r="P5" i="16" s="1"/>
  <c r="T4" i="16"/>
  <c r="Q4" i="16"/>
  <c r="O4" i="16"/>
  <c r="N4" i="16"/>
  <c r="L4" i="16"/>
  <c r="M4" i="16" s="1"/>
  <c r="J4" i="16"/>
  <c r="K4" i="16" s="1"/>
  <c r="H4" i="16"/>
  <c r="G4" i="16"/>
  <c r="C17" i="14"/>
  <c r="S18" i="14"/>
  <c r="I18" i="14"/>
  <c r="F18" i="14"/>
  <c r="E18" i="14"/>
  <c r="D18" i="14"/>
  <c r="C18" i="14"/>
  <c r="I17" i="14"/>
  <c r="D17" i="14"/>
  <c r="T15" i="14"/>
  <c r="L15" i="14"/>
  <c r="M15" i="14" s="1"/>
  <c r="J15" i="14"/>
  <c r="K15" i="14" s="1"/>
  <c r="H15" i="14"/>
  <c r="G15" i="14"/>
  <c r="Q15" i="14" s="1"/>
  <c r="R15" i="14" s="1"/>
  <c r="T14" i="14"/>
  <c r="L14" i="14"/>
  <c r="M14" i="14" s="1"/>
  <c r="J14" i="14"/>
  <c r="K14" i="14" s="1"/>
  <c r="H14" i="14"/>
  <c r="G14" i="14"/>
  <c r="O14" i="14" s="1"/>
  <c r="P14" i="14" s="1"/>
  <c r="T13" i="14"/>
  <c r="L13" i="14"/>
  <c r="M13" i="14" s="1"/>
  <c r="J13" i="14"/>
  <c r="K13" i="14" s="1"/>
  <c r="H13" i="14"/>
  <c r="G13" i="14"/>
  <c r="Q13" i="14" s="1"/>
  <c r="R13" i="14" s="1"/>
  <c r="T12" i="14"/>
  <c r="L12" i="14"/>
  <c r="M12" i="14" s="1"/>
  <c r="J12" i="14"/>
  <c r="K12" i="14" s="1"/>
  <c r="H12" i="14"/>
  <c r="G12" i="14"/>
  <c r="O12" i="14" s="1"/>
  <c r="P12" i="14" s="1"/>
  <c r="T11" i="14"/>
  <c r="Q11" i="14"/>
  <c r="R11" i="14" s="1"/>
  <c r="L11" i="14"/>
  <c r="M11" i="14" s="1"/>
  <c r="J11" i="14"/>
  <c r="K11" i="14" s="1"/>
  <c r="H11" i="14"/>
  <c r="G11" i="14"/>
  <c r="O11" i="14" s="1"/>
  <c r="P11" i="14" s="1"/>
  <c r="T10" i="14"/>
  <c r="L10" i="14"/>
  <c r="M10" i="14" s="1"/>
  <c r="J10" i="14"/>
  <c r="K10" i="14" s="1"/>
  <c r="H10" i="14"/>
  <c r="G10" i="14"/>
  <c r="Q10" i="14" s="1"/>
  <c r="R10" i="14" s="1"/>
  <c r="T9" i="14"/>
  <c r="L9" i="14"/>
  <c r="M9" i="14" s="1"/>
  <c r="J9" i="14"/>
  <c r="H9" i="14"/>
  <c r="G9" i="14"/>
  <c r="O9" i="14" s="1"/>
  <c r="P9" i="14" s="1"/>
  <c r="T8" i="14"/>
  <c r="L8" i="14"/>
  <c r="M8" i="14" s="1"/>
  <c r="J8" i="14"/>
  <c r="K8" i="14" s="1"/>
  <c r="H8" i="14"/>
  <c r="G8" i="14"/>
  <c r="Q8" i="14" s="1"/>
  <c r="R8" i="14" s="1"/>
  <c r="T7" i="14"/>
  <c r="L7" i="14"/>
  <c r="M7" i="14" s="1"/>
  <c r="J7" i="14"/>
  <c r="K7" i="14" s="1"/>
  <c r="H7" i="14"/>
  <c r="G7" i="14"/>
  <c r="Q7" i="14" s="1"/>
  <c r="R7" i="14" s="1"/>
  <c r="T6" i="14"/>
  <c r="L6" i="14"/>
  <c r="M6" i="14" s="1"/>
  <c r="J6" i="14"/>
  <c r="K6" i="14" s="1"/>
  <c r="H6" i="14"/>
  <c r="G6" i="14"/>
  <c r="Q6" i="14" s="1"/>
  <c r="R6" i="14" s="1"/>
  <c r="T5" i="14"/>
  <c r="L5" i="14"/>
  <c r="M5" i="14" s="1"/>
  <c r="J5" i="14"/>
  <c r="K5" i="14" s="1"/>
  <c r="H5" i="14"/>
  <c r="G5" i="14"/>
  <c r="O5" i="14" s="1"/>
  <c r="P5" i="14" s="1"/>
  <c r="T4" i="14"/>
  <c r="N4" i="14"/>
  <c r="L4" i="14"/>
  <c r="M4" i="14" s="1"/>
  <c r="J4" i="14"/>
  <c r="K4" i="14" s="1"/>
  <c r="H4" i="14"/>
  <c r="G4" i="14"/>
  <c r="Q4" i="14" s="1"/>
  <c r="S19" i="13"/>
  <c r="I19" i="13"/>
  <c r="F19" i="13"/>
  <c r="E19" i="13"/>
  <c r="D19" i="13"/>
  <c r="C19" i="13"/>
  <c r="I18" i="13"/>
  <c r="D18" i="13"/>
  <c r="C18" i="13"/>
  <c r="T16" i="13"/>
  <c r="Q16" i="13"/>
  <c r="R16" i="13" s="1"/>
  <c r="O16" i="13"/>
  <c r="P16" i="13" s="1"/>
  <c r="N16" i="13"/>
  <c r="L16" i="13"/>
  <c r="M16" i="13" s="1"/>
  <c r="J16" i="13"/>
  <c r="K16" i="13" s="1"/>
  <c r="H16" i="13"/>
  <c r="G16" i="13"/>
  <c r="T15" i="13"/>
  <c r="L15" i="13"/>
  <c r="M15" i="13" s="1"/>
  <c r="J15" i="13"/>
  <c r="K15" i="13" s="1"/>
  <c r="H15" i="13"/>
  <c r="G15" i="13"/>
  <c r="Q15" i="13" s="1"/>
  <c r="R15" i="13" s="1"/>
  <c r="T14" i="13"/>
  <c r="L14" i="13"/>
  <c r="M14" i="13" s="1"/>
  <c r="J14" i="13"/>
  <c r="K14" i="13" s="1"/>
  <c r="H14" i="13"/>
  <c r="G14" i="13"/>
  <c r="Q14" i="13" s="1"/>
  <c r="R14" i="13" s="1"/>
  <c r="T13" i="13"/>
  <c r="L13" i="13"/>
  <c r="M13" i="13" s="1"/>
  <c r="J13" i="13"/>
  <c r="K13" i="13" s="1"/>
  <c r="H13" i="13"/>
  <c r="G13" i="13"/>
  <c r="Q13" i="13" s="1"/>
  <c r="R13" i="13" s="1"/>
  <c r="T12" i="13"/>
  <c r="L12" i="13"/>
  <c r="M12" i="13" s="1"/>
  <c r="J12" i="13"/>
  <c r="K12" i="13" s="1"/>
  <c r="H12" i="13"/>
  <c r="G12" i="13"/>
  <c r="O12" i="13" s="1"/>
  <c r="P12" i="13" s="1"/>
  <c r="T11" i="13"/>
  <c r="Q11" i="13"/>
  <c r="R11" i="13" s="1"/>
  <c r="O11" i="13"/>
  <c r="P11" i="13" s="1"/>
  <c r="N11" i="13"/>
  <c r="M11" i="13"/>
  <c r="L11" i="13"/>
  <c r="J11" i="13"/>
  <c r="K11" i="13" s="1"/>
  <c r="H11" i="13"/>
  <c r="G11" i="13"/>
  <c r="T10" i="13"/>
  <c r="L10" i="13"/>
  <c r="M10" i="13" s="1"/>
  <c r="J10" i="13"/>
  <c r="K10" i="13" s="1"/>
  <c r="H10" i="13"/>
  <c r="G10" i="13"/>
  <c r="Q10" i="13" s="1"/>
  <c r="R10" i="13" s="1"/>
  <c r="T9" i="13"/>
  <c r="L9" i="13"/>
  <c r="J9" i="13"/>
  <c r="H9" i="13"/>
  <c r="G9" i="13"/>
  <c r="Q9" i="13" s="1"/>
  <c r="R9" i="13" s="1"/>
  <c r="T8" i="13"/>
  <c r="L8" i="13"/>
  <c r="M8" i="13" s="1"/>
  <c r="J8" i="13"/>
  <c r="H8" i="13"/>
  <c r="G8" i="13"/>
  <c r="O8" i="13" s="1"/>
  <c r="P8" i="13" s="1"/>
  <c r="T7" i="13"/>
  <c r="L7" i="13"/>
  <c r="M7" i="13" s="1"/>
  <c r="J7" i="13"/>
  <c r="K7" i="13" s="1"/>
  <c r="H7" i="13"/>
  <c r="G7" i="13"/>
  <c r="N7" i="13" s="1"/>
  <c r="T6" i="13"/>
  <c r="L6" i="13"/>
  <c r="M6" i="13" s="1"/>
  <c r="J6" i="13"/>
  <c r="K6" i="13" s="1"/>
  <c r="H6" i="13"/>
  <c r="G6" i="13"/>
  <c r="Q6" i="13" s="1"/>
  <c r="R6" i="13" s="1"/>
  <c r="T5" i="13"/>
  <c r="Q5" i="13"/>
  <c r="R5" i="13" s="1"/>
  <c r="L5" i="13"/>
  <c r="M5" i="13" s="1"/>
  <c r="J5" i="13"/>
  <c r="K5" i="13" s="1"/>
  <c r="H5" i="13"/>
  <c r="G5" i="13"/>
  <c r="O5" i="13" s="1"/>
  <c r="P5" i="13" s="1"/>
  <c r="T4" i="13"/>
  <c r="L4" i="13"/>
  <c r="M4" i="13" s="1"/>
  <c r="J4" i="13"/>
  <c r="K4" i="13" s="1"/>
  <c r="H4" i="13"/>
  <c r="G4" i="13"/>
  <c r="S18" i="12"/>
  <c r="I18" i="12"/>
  <c r="F18" i="12"/>
  <c r="E18" i="12"/>
  <c r="D18" i="12"/>
  <c r="C18" i="12"/>
  <c r="I17" i="12"/>
  <c r="D17" i="12"/>
  <c r="C17" i="12"/>
  <c r="T15" i="12"/>
  <c r="L15" i="12"/>
  <c r="M15" i="12" s="1"/>
  <c r="J15" i="12"/>
  <c r="K15" i="12" s="1"/>
  <c r="H15" i="12"/>
  <c r="G15" i="12"/>
  <c r="Q15" i="12" s="1"/>
  <c r="R15" i="12" s="1"/>
  <c r="T14" i="12"/>
  <c r="L14" i="12"/>
  <c r="M14" i="12" s="1"/>
  <c r="J14" i="12"/>
  <c r="K14" i="12" s="1"/>
  <c r="H14" i="12"/>
  <c r="G14" i="12"/>
  <c r="Q14" i="12" s="1"/>
  <c r="R14" i="12" s="1"/>
  <c r="T13" i="12"/>
  <c r="L13" i="12"/>
  <c r="M13" i="12" s="1"/>
  <c r="J13" i="12"/>
  <c r="K13" i="12" s="1"/>
  <c r="H13" i="12"/>
  <c r="G13" i="12"/>
  <c r="Q13" i="12" s="1"/>
  <c r="R13" i="12" s="1"/>
  <c r="T12" i="12"/>
  <c r="Q12" i="12"/>
  <c r="R12" i="12" s="1"/>
  <c r="L12" i="12"/>
  <c r="M12" i="12" s="1"/>
  <c r="J12" i="12"/>
  <c r="K12" i="12" s="1"/>
  <c r="H12" i="12"/>
  <c r="G12" i="12"/>
  <c r="O12" i="12" s="1"/>
  <c r="P12" i="12" s="1"/>
  <c r="T11" i="12"/>
  <c r="L11" i="12"/>
  <c r="M11" i="12" s="1"/>
  <c r="J11" i="12"/>
  <c r="K11" i="12" s="1"/>
  <c r="H11" i="12"/>
  <c r="G11" i="12"/>
  <c r="N11" i="12" s="1"/>
  <c r="T10" i="12"/>
  <c r="Q10" i="12"/>
  <c r="R10" i="12" s="1"/>
  <c r="O10" i="12"/>
  <c r="P10" i="12" s="1"/>
  <c r="N10" i="12"/>
  <c r="L10" i="12"/>
  <c r="M10" i="12" s="1"/>
  <c r="J10" i="12"/>
  <c r="K10" i="12" s="1"/>
  <c r="H10" i="12"/>
  <c r="G10" i="12"/>
  <c r="T9" i="12"/>
  <c r="L9" i="12"/>
  <c r="J9" i="12"/>
  <c r="H9" i="12"/>
  <c r="G9" i="12"/>
  <c r="Q9" i="12" s="1"/>
  <c r="R9" i="12" s="1"/>
  <c r="T8" i="12"/>
  <c r="L8" i="12"/>
  <c r="M8" i="12" s="1"/>
  <c r="J8" i="12"/>
  <c r="K8" i="12" s="1"/>
  <c r="H8" i="12"/>
  <c r="G8" i="12"/>
  <c r="N8" i="12" s="1"/>
  <c r="T7" i="12"/>
  <c r="L7" i="12"/>
  <c r="M7" i="12" s="1"/>
  <c r="J7" i="12"/>
  <c r="K7" i="12" s="1"/>
  <c r="H7" i="12"/>
  <c r="G7" i="12"/>
  <c r="Q7" i="12" s="1"/>
  <c r="R7" i="12" s="1"/>
  <c r="T6" i="12"/>
  <c r="L6" i="12"/>
  <c r="M6" i="12" s="1"/>
  <c r="J6" i="12"/>
  <c r="K6" i="12" s="1"/>
  <c r="H6" i="12"/>
  <c r="G6" i="12"/>
  <c r="Q6" i="12" s="1"/>
  <c r="R6" i="12" s="1"/>
  <c r="T5" i="12"/>
  <c r="Q5" i="12"/>
  <c r="R5" i="12" s="1"/>
  <c r="L5" i="12"/>
  <c r="M5" i="12" s="1"/>
  <c r="J5" i="12"/>
  <c r="K5" i="12" s="1"/>
  <c r="H5" i="12"/>
  <c r="G5" i="12"/>
  <c r="O5" i="12" s="1"/>
  <c r="T4" i="12"/>
  <c r="L4" i="12"/>
  <c r="M4" i="12" s="1"/>
  <c r="J4" i="12"/>
  <c r="K4" i="12" s="1"/>
  <c r="H4" i="12"/>
  <c r="G4" i="12"/>
  <c r="C18" i="11"/>
  <c r="C17" i="11"/>
  <c r="S18" i="11"/>
  <c r="I18" i="11"/>
  <c r="F18" i="11"/>
  <c r="E18" i="11"/>
  <c r="D18" i="11"/>
  <c r="I17" i="11"/>
  <c r="D17" i="11"/>
  <c r="T15" i="11"/>
  <c r="L15" i="11"/>
  <c r="M15" i="11" s="1"/>
  <c r="J15" i="11"/>
  <c r="K15" i="11" s="1"/>
  <c r="H15" i="11"/>
  <c r="G15" i="11"/>
  <c r="N15" i="11" s="1"/>
  <c r="T14" i="11"/>
  <c r="L14" i="11"/>
  <c r="M14" i="11" s="1"/>
  <c r="J14" i="11"/>
  <c r="K14" i="11" s="1"/>
  <c r="H14" i="11"/>
  <c r="G14" i="11"/>
  <c r="N14" i="11" s="1"/>
  <c r="T13" i="11"/>
  <c r="L13" i="11"/>
  <c r="M13" i="11" s="1"/>
  <c r="J13" i="11"/>
  <c r="K13" i="11" s="1"/>
  <c r="H13" i="11"/>
  <c r="G13" i="11"/>
  <c r="Q13" i="11" s="1"/>
  <c r="R13" i="11" s="1"/>
  <c r="T12" i="11"/>
  <c r="L12" i="11"/>
  <c r="M12" i="11" s="1"/>
  <c r="J12" i="11"/>
  <c r="K12" i="11" s="1"/>
  <c r="H12" i="11"/>
  <c r="G12" i="11"/>
  <c r="O12" i="11" s="1"/>
  <c r="P12" i="11" s="1"/>
  <c r="T11" i="11"/>
  <c r="L11" i="11"/>
  <c r="M11" i="11" s="1"/>
  <c r="J11" i="11"/>
  <c r="K11" i="11" s="1"/>
  <c r="H11" i="11"/>
  <c r="G11" i="11"/>
  <c r="O11" i="11" s="1"/>
  <c r="P11" i="11" s="1"/>
  <c r="T10" i="11"/>
  <c r="L10" i="11"/>
  <c r="M10" i="11" s="1"/>
  <c r="J10" i="11"/>
  <c r="K10" i="11" s="1"/>
  <c r="H10" i="11"/>
  <c r="G10" i="11"/>
  <c r="Q10" i="11" s="1"/>
  <c r="R10" i="11" s="1"/>
  <c r="T9" i="11"/>
  <c r="L9" i="11"/>
  <c r="J9" i="11"/>
  <c r="K9" i="11" s="1"/>
  <c r="H9" i="11"/>
  <c r="G9" i="11"/>
  <c r="Q9" i="11" s="1"/>
  <c r="R9" i="11" s="1"/>
  <c r="T8" i="11"/>
  <c r="L8" i="11"/>
  <c r="J8" i="11"/>
  <c r="K8" i="11" s="1"/>
  <c r="H8" i="11"/>
  <c r="G8" i="11"/>
  <c r="O8" i="11" s="1"/>
  <c r="P8" i="11" s="1"/>
  <c r="T7" i="11"/>
  <c r="L7" i="11"/>
  <c r="M7" i="11" s="1"/>
  <c r="J7" i="11"/>
  <c r="K7" i="11" s="1"/>
  <c r="H7" i="11"/>
  <c r="G7" i="11"/>
  <c r="N7" i="11" s="1"/>
  <c r="T6" i="11"/>
  <c r="L6" i="11"/>
  <c r="M6" i="11" s="1"/>
  <c r="J6" i="11"/>
  <c r="K6" i="11" s="1"/>
  <c r="H6" i="11"/>
  <c r="G6" i="11"/>
  <c r="Q6" i="11" s="1"/>
  <c r="R6" i="11" s="1"/>
  <c r="T5" i="11"/>
  <c r="L5" i="11"/>
  <c r="M5" i="11" s="1"/>
  <c r="J5" i="11"/>
  <c r="K5" i="11" s="1"/>
  <c r="H5" i="11"/>
  <c r="G5" i="11"/>
  <c r="O5" i="11" s="1"/>
  <c r="P5" i="11" s="1"/>
  <c r="T4" i="11"/>
  <c r="L4" i="11"/>
  <c r="M4" i="11" s="1"/>
  <c r="J4" i="11"/>
  <c r="K4" i="11" s="1"/>
  <c r="H4" i="11"/>
  <c r="G4" i="11"/>
  <c r="Q4" i="11" s="1"/>
  <c r="R4" i="11" s="1"/>
  <c r="S19" i="9"/>
  <c r="I19" i="9"/>
  <c r="F19" i="9"/>
  <c r="E19" i="9"/>
  <c r="D19" i="9"/>
  <c r="C19" i="9"/>
  <c r="I18" i="9"/>
  <c r="D18" i="9"/>
  <c r="C18" i="9"/>
  <c r="T16" i="9"/>
  <c r="Q16" i="9"/>
  <c r="R16" i="9" s="1"/>
  <c r="O16" i="9"/>
  <c r="P16" i="9" s="1"/>
  <c r="L16" i="9"/>
  <c r="M16" i="9" s="1"/>
  <c r="J16" i="9"/>
  <c r="K16" i="9" s="1"/>
  <c r="H16" i="9"/>
  <c r="G16" i="9"/>
  <c r="N16" i="9" s="1"/>
  <c r="T15" i="9"/>
  <c r="L15" i="9"/>
  <c r="M15" i="9" s="1"/>
  <c r="J15" i="9"/>
  <c r="K15" i="9" s="1"/>
  <c r="H15" i="9"/>
  <c r="G15" i="9"/>
  <c r="Q15" i="9" s="1"/>
  <c r="R15" i="9" s="1"/>
  <c r="T14" i="9"/>
  <c r="L14" i="9"/>
  <c r="M14" i="9" s="1"/>
  <c r="J14" i="9"/>
  <c r="K14" i="9" s="1"/>
  <c r="H14" i="9"/>
  <c r="G14" i="9"/>
  <c r="O14" i="9" s="1"/>
  <c r="P14" i="9" s="1"/>
  <c r="T13" i="9"/>
  <c r="L13" i="9"/>
  <c r="M13" i="9" s="1"/>
  <c r="J13" i="9"/>
  <c r="K13" i="9" s="1"/>
  <c r="H13" i="9"/>
  <c r="G13" i="9"/>
  <c r="Q13" i="9" s="1"/>
  <c r="R13" i="9" s="1"/>
  <c r="T12" i="9"/>
  <c r="Q12" i="9"/>
  <c r="R12" i="9" s="1"/>
  <c r="L12" i="9"/>
  <c r="M12" i="9" s="1"/>
  <c r="K12" i="9"/>
  <c r="J12" i="9"/>
  <c r="H12" i="9"/>
  <c r="G12" i="9"/>
  <c r="O12" i="9" s="1"/>
  <c r="P12" i="9" s="1"/>
  <c r="T11" i="9"/>
  <c r="L11" i="9"/>
  <c r="M11" i="9" s="1"/>
  <c r="J11" i="9"/>
  <c r="K11" i="9" s="1"/>
  <c r="H11" i="9"/>
  <c r="G11" i="9"/>
  <c r="O11" i="9" s="1"/>
  <c r="P11" i="9" s="1"/>
  <c r="T10" i="9"/>
  <c r="L10" i="9"/>
  <c r="M10" i="9" s="1"/>
  <c r="J10" i="9"/>
  <c r="K10" i="9" s="1"/>
  <c r="H10" i="9"/>
  <c r="G10" i="9"/>
  <c r="Q10" i="9" s="1"/>
  <c r="R10" i="9" s="1"/>
  <c r="T9" i="9"/>
  <c r="Q9" i="9"/>
  <c r="R9" i="9" s="1"/>
  <c r="O9" i="9"/>
  <c r="P9" i="9" s="1"/>
  <c r="N9" i="9"/>
  <c r="L9" i="9"/>
  <c r="J9" i="9"/>
  <c r="K9" i="9" s="1"/>
  <c r="H9" i="9"/>
  <c r="G9" i="9"/>
  <c r="T8" i="9"/>
  <c r="L8" i="9"/>
  <c r="M8" i="9" s="1"/>
  <c r="J8" i="9"/>
  <c r="K8" i="9" s="1"/>
  <c r="H8" i="9"/>
  <c r="G8" i="9"/>
  <c r="Q8" i="9" s="1"/>
  <c r="R8" i="9" s="1"/>
  <c r="T7" i="9"/>
  <c r="L7" i="9"/>
  <c r="M7" i="9" s="1"/>
  <c r="J7" i="9"/>
  <c r="K7" i="9" s="1"/>
  <c r="H7" i="9"/>
  <c r="G7" i="9"/>
  <c r="Q7" i="9" s="1"/>
  <c r="R7" i="9" s="1"/>
  <c r="T6" i="9"/>
  <c r="L6" i="9"/>
  <c r="M6" i="9" s="1"/>
  <c r="J6" i="9"/>
  <c r="K6" i="9" s="1"/>
  <c r="H6" i="9"/>
  <c r="G6" i="9"/>
  <c r="Q6" i="9" s="1"/>
  <c r="R6" i="9" s="1"/>
  <c r="T5" i="9"/>
  <c r="L5" i="9"/>
  <c r="M5" i="9" s="1"/>
  <c r="J5" i="9"/>
  <c r="K5" i="9" s="1"/>
  <c r="H5" i="9"/>
  <c r="G5" i="9"/>
  <c r="O5" i="9" s="1"/>
  <c r="P5" i="9" s="1"/>
  <c r="T4" i="9"/>
  <c r="Q4" i="9"/>
  <c r="L4" i="9"/>
  <c r="M4" i="9" s="1"/>
  <c r="J4" i="9"/>
  <c r="K4" i="9" s="1"/>
  <c r="H4" i="9"/>
  <c r="G4" i="9"/>
  <c r="S19" i="7"/>
  <c r="I19" i="7"/>
  <c r="F19" i="7"/>
  <c r="E19" i="7"/>
  <c r="D19" i="7"/>
  <c r="C19" i="7"/>
  <c r="I18" i="7"/>
  <c r="D18" i="7"/>
  <c r="T16" i="7"/>
  <c r="Q16" i="7"/>
  <c r="R16" i="7" s="1"/>
  <c r="O16" i="7"/>
  <c r="P16" i="7" s="1"/>
  <c r="N16" i="7"/>
  <c r="L16" i="7"/>
  <c r="M16" i="7" s="1"/>
  <c r="J16" i="7"/>
  <c r="K16" i="7" s="1"/>
  <c r="H16" i="7"/>
  <c r="G16" i="7"/>
  <c r="T15" i="7"/>
  <c r="L15" i="7"/>
  <c r="M15" i="7" s="1"/>
  <c r="J15" i="7"/>
  <c r="K15" i="7" s="1"/>
  <c r="H15" i="7"/>
  <c r="G15" i="7"/>
  <c r="Q15" i="7" s="1"/>
  <c r="R15" i="7" s="1"/>
  <c r="T14" i="7"/>
  <c r="L14" i="7"/>
  <c r="M14" i="7" s="1"/>
  <c r="J14" i="7"/>
  <c r="K14" i="7" s="1"/>
  <c r="H14" i="7"/>
  <c r="G14" i="7"/>
  <c r="O14" i="7" s="1"/>
  <c r="P14" i="7" s="1"/>
  <c r="T13" i="7"/>
  <c r="L13" i="7"/>
  <c r="M13" i="7" s="1"/>
  <c r="K13" i="7"/>
  <c r="J13" i="7"/>
  <c r="H13" i="7"/>
  <c r="G13" i="7"/>
  <c r="Q13" i="7" s="1"/>
  <c r="R13" i="7" s="1"/>
  <c r="T12" i="7"/>
  <c r="Q12" i="7"/>
  <c r="R12" i="7" s="1"/>
  <c r="L12" i="7"/>
  <c r="M12" i="7" s="1"/>
  <c r="J12" i="7"/>
  <c r="K12" i="7" s="1"/>
  <c r="H12" i="7"/>
  <c r="G12" i="7"/>
  <c r="O12" i="7" s="1"/>
  <c r="P12" i="7" s="1"/>
  <c r="T11" i="7"/>
  <c r="L11" i="7"/>
  <c r="M11" i="7" s="1"/>
  <c r="J11" i="7"/>
  <c r="K11" i="7" s="1"/>
  <c r="H11" i="7"/>
  <c r="G11" i="7"/>
  <c r="O11" i="7" s="1"/>
  <c r="P11" i="7" s="1"/>
  <c r="T10" i="7"/>
  <c r="Q10" i="7"/>
  <c r="R10" i="7" s="1"/>
  <c r="L10" i="7"/>
  <c r="M10" i="7" s="1"/>
  <c r="J10" i="7"/>
  <c r="K10" i="7" s="1"/>
  <c r="H10" i="7"/>
  <c r="G10" i="7"/>
  <c r="O10" i="7" s="1"/>
  <c r="P10" i="7" s="1"/>
  <c r="T9" i="7"/>
  <c r="Q9" i="7"/>
  <c r="R9" i="7" s="1"/>
  <c r="O9" i="7"/>
  <c r="P9" i="7" s="1"/>
  <c r="N9" i="7"/>
  <c r="L9" i="7"/>
  <c r="J9" i="7"/>
  <c r="H9" i="7"/>
  <c r="G9" i="7"/>
  <c r="T8" i="7"/>
  <c r="L8" i="7"/>
  <c r="J8" i="7"/>
  <c r="H8" i="7"/>
  <c r="G8" i="7"/>
  <c r="Q8" i="7" s="1"/>
  <c r="R8" i="7" s="1"/>
  <c r="T7" i="7"/>
  <c r="L7" i="7"/>
  <c r="M7" i="7" s="1"/>
  <c r="J7" i="7"/>
  <c r="K7" i="7" s="1"/>
  <c r="H7" i="7"/>
  <c r="G7" i="7"/>
  <c r="Q7" i="7" s="1"/>
  <c r="R7" i="7" s="1"/>
  <c r="T6" i="7"/>
  <c r="L6" i="7"/>
  <c r="M6" i="7" s="1"/>
  <c r="J6" i="7"/>
  <c r="K6" i="7" s="1"/>
  <c r="H6" i="7"/>
  <c r="G6" i="7"/>
  <c r="Q6" i="7" s="1"/>
  <c r="R6" i="7" s="1"/>
  <c r="T5" i="7"/>
  <c r="L5" i="7"/>
  <c r="M5" i="7" s="1"/>
  <c r="J5" i="7"/>
  <c r="K5" i="7" s="1"/>
  <c r="H5" i="7"/>
  <c r="G5" i="7"/>
  <c r="O5" i="7" s="1"/>
  <c r="P5" i="7" s="1"/>
  <c r="T4" i="7"/>
  <c r="L4" i="7"/>
  <c r="M4" i="7" s="1"/>
  <c r="J4" i="7"/>
  <c r="K4" i="7" s="1"/>
  <c r="H4" i="7"/>
  <c r="G4" i="7"/>
  <c r="C18" i="6"/>
  <c r="C17" i="6"/>
  <c r="F4" i="6"/>
  <c r="E4" i="6"/>
  <c r="S18" i="6"/>
  <c r="I18" i="6"/>
  <c r="F18" i="6"/>
  <c r="E18" i="6"/>
  <c r="D18" i="6"/>
  <c r="I17" i="6"/>
  <c r="D17" i="6"/>
  <c r="T15" i="6"/>
  <c r="Q15" i="6"/>
  <c r="R15" i="6" s="1"/>
  <c r="O15" i="6"/>
  <c r="P15" i="6" s="1"/>
  <c r="L15" i="6"/>
  <c r="M15" i="6" s="1"/>
  <c r="J15" i="6"/>
  <c r="K15" i="6" s="1"/>
  <c r="H15" i="6"/>
  <c r="G15" i="6"/>
  <c r="N15" i="6" s="1"/>
  <c r="T14" i="6"/>
  <c r="L14" i="6"/>
  <c r="M14" i="6" s="1"/>
  <c r="K14" i="6"/>
  <c r="J14" i="6"/>
  <c r="H14" i="6"/>
  <c r="G14" i="6"/>
  <c r="O14" i="6" s="1"/>
  <c r="P14" i="6" s="1"/>
  <c r="T13" i="6"/>
  <c r="L13" i="6"/>
  <c r="M13" i="6" s="1"/>
  <c r="J13" i="6"/>
  <c r="K13" i="6" s="1"/>
  <c r="H13" i="6"/>
  <c r="G13" i="6"/>
  <c r="Q13" i="6" s="1"/>
  <c r="R13" i="6" s="1"/>
  <c r="T12" i="6"/>
  <c r="L12" i="6"/>
  <c r="M12" i="6" s="1"/>
  <c r="J12" i="6"/>
  <c r="K12" i="6" s="1"/>
  <c r="H12" i="6"/>
  <c r="G12" i="6"/>
  <c r="O12" i="6" s="1"/>
  <c r="P12" i="6" s="1"/>
  <c r="T11" i="6"/>
  <c r="Q11" i="6"/>
  <c r="R11" i="6" s="1"/>
  <c r="O11" i="6"/>
  <c r="P11" i="6" s="1"/>
  <c r="L11" i="6"/>
  <c r="M11" i="6" s="1"/>
  <c r="J11" i="6"/>
  <c r="K11" i="6" s="1"/>
  <c r="H11" i="6"/>
  <c r="G11" i="6"/>
  <c r="N11" i="6" s="1"/>
  <c r="T10" i="6"/>
  <c r="L10" i="6"/>
  <c r="M10" i="6" s="1"/>
  <c r="J10" i="6"/>
  <c r="K10" i="6" s="1"/>
  <c r="H10" i="6"/>
  <c r="G10" i="6"/>
  <c r="Q10" i="6" s="1"/>
  <c r="R10" i="6" s="1"/>
  <c r="T9" i="6"/>
  <c r="L9" i="6"/>
  <c r="M9" i="6" s="1"/>
  <c r="J9" i="6"/>
  <c r="K9" i="6" s="1"/>
  <c r="H9" i="6"/>
  <c r="G9" i="6"/>
  <c r="Q9" i="6" s="1"/>
  <c r="R9" i="6" s="1"/>
  <c r="T8" i="6"/>
  <c r="Q8" i="6"/>
  <c r="R8" i="6" s="1"/>
  <c r="O8" i="6"/>
  <c r="P8" i="6" s="1"/>
  <c r="L8" i="6"/>
  <c r="M8" i="6" s="1"/>
  <c r="J8" i="6"/>
  <c r="K8" i="6" s="1"/>
  <c r="H8" i="6"/>
  <c r="G8" i="6"/>
  <c r="N8" i="6" s="1"/>
  <c r="T7" i="6"/>
  <c r="L7" i="6"/>
  <c r="M7" i="6" s="1"/>
  <c r="J7" i="6"/>
  <c r="H7" i="6"/>
  <c r="G7" i="6"/>
  <c r="Q7" i="6" s="1"/>
  <c r="R7" i="6" s="1"/>
  <c r="T6" i="6"/>
  <c r="L6" i="6"/>
  <c r="M6" i="6" s="1"/>
  <c r="J6" i="6"/>
  <c r="K6" i="6" s="1"/>
  <c r="H6" i="6"/>
  <c r="G6" i="6"/>
  <c r="Q6" i="6" s="1"/>
  <c r="R6" i="6" s="1"/>
  <c r="T5" i="6"/>
  <c r="L5" i="6"/>
  <c r="M5" i="6" s="1"/>
  <c r="J5" i="6"/>
  <c r="K5" i="6" s="1"/>
  <c r="H5" i="6"/>
  <c r="G5" i="6"/>
  <c r="O5" i="6" s="1"/>
  <c r="P5" i="6" s="1"/>
  <c r="T4" i="6"/>
  <c r="L4" i="6"/>
  <c r="J4" i="6"/>
  <c r="K4" i="6" s="1"/>
  <c r="H4" i="6"/>
  <c r="G4" i="6"/>
  <c r="Q4" i="6" s="1"/>
  <c r="S10" i="4"/>
  <c r="F16" i="4"/>
  <c r="G16" i="4" s="1"/>
  <c r="E16" i="4"/>
  <c r="F15" i="4"/>
  <c r="E15" i="4"/>
  <c r="F14" i="4"/>
  <c r="E14" i="4"/>
  <c r="F13" i="4"/>
  <c r="E13" i="4"/>
  <c r="J13" i="4" s="1"/>
  <c r="K13" i="4" s="1"/>
  <c r="F12" i="4"/>
  <c r="E12" i="4"/>
  <c r="L12" i="4" s="1"/>
  <c r="M12" i="4" s="1"/>
  <c r="F11" i="4"/>
  <c r="E11" i="4"/>
  <c r="L11" i="4" s="1"/>
  <c r="M11" i="4" s="1"/>
  <c r="F10" i="4"/>
  <c r="E10" i="4"/>
  <c r="H10" i="4" s="1"/>
  <c r="F9" i="4"/>
  <c r="G9" i="4" s="1"/>
  <c r="E9" i="4"/>
  <c r="F8" i="4"/>
  <c r="E8" i="4"/>
  <c r="F7" i="4"/>
  <c r="E7" i="4"/>
  <c r="F5" i="4"/>
  <c r="F19" i="4" s="1"/>
  <c r="E5" i="4"/>
  <c r="L5" i="4" s="1"/>
  <c r="M5" i="4" s="1"/>
  <c r="F4" i="4"/>
  <c r="E4" i="4"/>
  <c r="J4" i="4" s="1"/>
  <c r="K4" i="4" s="1"/>
  <c r="S19" i="4"/>
  <c r="I19" i="4"/>
  <c r="D19" i="4"/>
  <c r="C19" i="4"/>
  <c r="I18" i="4"/>
  <c r="D18" i="4"/>
  <c r="C18" i="4"/>
  <c r="T16" i="4"/>
  <c r="L16" i="4"/>
  <c r="M16" i="4" s="1"/>
  <c r="J16" i="4"/>
  <c r="K16" i="4" s="1"/>
  <c r="H16" i="4"/>
  <c r="T15" i="4"/>
  <c r="L15" i="4"/>
  <c r="M15" i="4" s="1"/>
  <c r="J15" i="4"/>
  <c r="K15" i="4" s="1"/>
  <c r="H15" i="4"/>
  <c r="G15" i="4"/>
  <c r="Q15" i="4" s="1"/>
  <c r="R15" i="4" s="1"/>
  <c r="T14" i="4"/>
  <c r="M14" i="4"/>
  <c r="L14" i="4"/>
  <c r="J14" i="4"/>
  <c r="K14" i="4" s="1"/>
  <c r="H14" i="4"/>
  <c r="G14" i="4"/>
  <c r="Q14" i="4" s="1"/>
  <c r="R14" i="4" s="1"/>
  <c r="T13" i="4"/>
  <c r="L13" i="4"/>
  <c r="M13" i="4" s="1"/>
  <c r="T12" i="4"/>
  <c r="T11" i="4"/>
  <c r="T10" i="4"/>
  <c r="J10" i="4"/>
  <c r="K10" i="4" s="1"/>
  <c r="T9" i="4"/>
  <c r="L9" i="4"/>
  <c r="J9" i="4"/>
  <c r="K9" i="4" s="1"/>
  <c r="H9" i="4"/>
  <c r="T8" i="4"/>
  <c r="L8" i="4"/>
  <c r="J8" i="4"/>
  <c r="H8" i="4"/>
  <c r="G8" i="4"/>
  <c r="Q8" i="4" s="1"/>
  <c r="R8" i="4" s="1"/>
  <c r="T7" i="4"/>
  <c r="L7" i="4"/>
  <c r="M7" i="4" s="1"/>
  <c r="J7" i="4"/>
  <c r="K7" i="4" s="1"/>
  <c r="H7" i="4"/>
  <c r="G7" i="4"/>
  <c r="Q7" i="4" s="1"/>
  <c r="R7" i="4" s="1"/>
  <c r="T6" i="4"/>
  <c r="L6" i="4"/>
  <c r="M6" i="4" s="1"/>
  <c r="J6" i="4"/>
  <c r="K6" i="4" s="1"/>
  <c r="H6" i="4"/>
  <c r="G6" i="4"/>
  <c r="Q6" i="4" s="1"/>
  <c r="R6" i="4" s="1"/>
  <c r="T5" i="4"/>
  <c r="J5" i="4"/>
  <c r="K5" i="4" s="1"/>
  <c r="H5" i="4"/>
  <c r="T4" i="4"/>
  <c r="L4" i="4"/>
  <c r="M4" i="4" s="1"/>
  <c r="S16" i="3"/>
  <c r="S15" i="3"/>
  <c r="S14" i="3"/>
  <c r="S13" i="3"/>
  <c r="S12" i="3"/>
  <c r="T12" i="3" s="1"/>
  <c r="S11" i="3"/>
  <c r="T11" i="3" s="1"/>
  <c r="S10" i="3"/>
  <c r="T10" i="3" s="1"/>
  <c r="S9" i="3"/>
  <c r="T9" i="3" s="1"/>
  <c r="S8" i="3"/>
  <c r="S7" i="3"/>
  <c r="T7" i="3" s="1"/>
  <c r="S6" i="3"/>
  <c r="T6" i="3" s="1"/>
  <c r="S5" i="3"/>
  <c r="T5" i="3" s="1"/>
  <c r="S4" i="3"/>
  <c r="T4" i="3" s="1"/>
  <c r="I16" i="3"/>
  <c r="I15" i="3"/>
  <c r="I14" i="3"/>
  <c r="I13" i="3"/>
  <c r="I12" i="3"/>
  <c r="I11" i="3"/>
  <c r="L11" i="3" s="1"/>
  <c r="M11" i="3" s="1"/>
  <c r="I10" i="3"/>
  <c r="I9" i="3"/>
  <c r="I8" i="3"/>
  <c r="L8" i="3" s="1"/>
  <c r="M8" i="3" s="1"/>
  <c r="I7" i="3"/>
  <c r="L7" i="3" s="1"/>
  <c r="M7" i="3" s="1"/>
  <c r="I6" i="3"/>
  <c r="I5" i="3"/>
  <c r="J5" i="3" s="1"/>
  <c r="K5" i="3" s="1"/>
  <c r="I4" i="3"/>
  <c r="J4" i="3" s="1"/>
  <c r="K4" i="3" s="1"/>
  <c r="F16" i="3"/>
  <c r="E16" i="3"/>
  <c r="F15" i="3"/>
  <c r="E15" i="3"/>
  <c r="L15" i="3" s="1"/>
  <c r="M15" i="3" s="1"/>
  <c r="F14" i="3"/>
  <c r="E14" i="3"/>
  <c r="J14" i="3" s="1"/>
  <c r="K14" i="3" s="1"/>
  <c r="F13" i="3"/>
  <c r="E13" i="3"/>
  <c r="F12" i="3"/>
  <c r="E12" i="3"/>
  <c r="J12" i="3" s="1"/>
  <c r="K12" i="3" s="1"/>
  <c r="F11" i="3"/>
  <c r="E11" i="3"/>
  <c r="G11" i="3" s="1"/>
  <c r="F10" i="3"/>
  <c r="F19" i="3" s="1"/>
  <c r="E10" i="3"/>
  <c r="E19" i="3" s="1"/>
  <c r="E9" i="3"/>
  <c r="E8" i="3"/>
  <c r="F7" i="3"/>
  <c r="E7" i="3"/>
  <c r="H7" i="3" s="1"/>
  <c r="E6" i="3"/>
  <c r="F5" i="3"/>
  <c r="E5" i="3"/>
  <c r="F4" i="3"/>
  <c r="E4" i="3"/>
  <c r="D19" i="3"/>
  <c r="C19" i="3"/>
  <c r="I18" i="3"/>
  <c r="D18" i="3"/>
  <c r="C18" i="3"/>
  <c r="T16" i="3"/>
  <c r="L16" i="3"/>
  <c r="M16" i="3" s="1"/>
  <c r="J16" i="3"/>
  <c r="K16" i="3" s="1"/>
  <c r="H16" i="3"/>
  <c r="G16" i="3"/>
  <c r="Q16" i="3" s="1"/>
  <c r="R16" i="3" s="1"/>
  <c r="T15" i="3"/>
  <c r="G15" i="3"/>
  <c r="Q15" i="3" s="1"/>
  <c r="R15" i="3" s="1"/>
  <c r="T14" i="3"/>
  <c r="L14" i="3"/>
  <c r="M14" i="3" s="1"/>
  <c r="T13" i="3"/>
  <c r="L13" i="3"/>
  <c r="M13" i="3" s="1"/>
  <c r="J13" i="3"/>
  <c r="K13" i="3" s="1"/>
  <c r="H13" i="3"/>
  <c r="G13" i="3"/>
  <c r="Q13" i="3" s="1"/>
  <c r="R13" i="3" s="1"/>
  <c r="H11" i="3"/>
  <c r="Q9" i="3"/>
  <c r="R9" i="3" s="1"/>
  <c r="L9" i="3"/>
  <c r="M9" i="3" s="1"/>
  <c r="J9" i="3"/>
  <c r="H9" i="3"/>
  <c r="G9" i="3"/>
  <c r="O9" i="3" s="1"/>
  <c r="P9" i="3" s="1"/>
  <c r="T8" i="3"/>
  <c r="H8" i="3"/>
  <c r="G8" i="3"/>
  <c r="N8" i="3" s="1"/>
  <c r="J7" i="3"/>
  <c r="K7" i="3" s="1"/>
  <c r="H6" i="3"/>
  <c r="H5" i="3"/>
  <c r="G5" i="3"/>
  <c r="O5" i="3" s="1"/>
  <c r="P5" i="3" s="1"/>
  <c r="R5" i="1"/>
  <c r="R6" i="1"/>
  <c r="R7" i="1"/>
  <c r="R8" i="1"/>
  <c r="R9" i="1"/>
  <c r="R10" i="1"/>
  <c r="R11" i="1"/>
  <c r="R12" i="1"/>
  <c r="R13" i="1"/>
  <c r="R14" i="1"/>
  <c r="R15" i="1"/>
  <c r="R16" i="1"/>
  <c r="R4" i="1"/>
  <c r="Q5" i="1"/>
  <c r="Q6" i="1"/>
  <c r="Q7" i="1"/>
  <c r="Q8" i="1"/>
  <c r="Q19" i="1" s="1"/>
  <c r="Q9" i="1"/>
  <c r="Q10" i="1"/>
  <c r="Q11" i="1"/>
  <c r="Q18" i="1" s="1"/>
  <c r="Q12" i="1"/>
  <c r="Q13" i="1"/>
  <c r="Q14" i="1"/>
  <c r="Q15" i="1"/>
  <c r="Q16" i="1"/>
  <c r="Q4" i="1"/>
  <c r="P5" i="1"/>
  <c r="P6" i="1"/>
  <c r="P7" i="1"/>
  <c r="P8" i="1"/>
  <c r="P9" i="1"/>
  <c r="P19" i="1" s="1"/>
  <c r="P10" i="1"/>
  <c r="P11" i="1"/>
  <c r="P12" i="1"/>
  <c r="P13" i="1"/>
  <c r="P14" i="1"/>
  <c r="P15" i="1"/>
  <c r="P16" i="1"/>
  <c r="P4" i="1"/>
  <c r="P18" i="1" s="1"/>
  <c r="O5" i="1"/>
  <c r="O19" i="1" s="1"/>
  <c r="O6" i="1"/>
  <c r="O7" i="1"/>
  <c r="O8" i="1"/>
  <c r="O9" i="1"/>
  <c r="O10" i="1"/>
  <c r="O11" i="1"/>
  <c r="O12" i="1"/>
  <c r="O13" i="1"/>
  <c r="O14" i="1"/>
  <c r="O15" i="1"/>
  <c r="O16" i="1"/>
  <c r="O4" i="1"/>
  <c r="N5" i="1"/>
  <c r="N6" i="1"/>
  <c r="N7" i="1"/>
  <c r="N8" i="1"/>
  <c r="N9" i="1"/>
  <c r="N10" i="1"/>
  <c r="N19" i="1" s="1"/>
  <c r="N11" i="1"/>
  <c r="N12" i="1"/>
  <c r="N13" i="1"/>
  <c r="N14" i="1"/>
  <c r="N15" i="1"/>
  <c r="N16" i="1"/>
  <c r="N4" i="1"/>
  <c r="N18" i="1" s="1"/>
  <c r="R18" i="1"/>
  <c r="R19" i="1"/>
  <c r="G4" i="1"/>
  <c r="H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S19" i="1"/>
  <c r="G13" i="1"/>
  <c r="G11" i="1"/>
  <c r="G16" i="1"/>
  <c r="G15" i="1"/>
  <c r="G14" i="1"/>
  <c r="G12" i="1"/>
  <c r="G10" i="1"/>
  <c r="G9" i="1"/>
  <c r="G8" i="1"/>
  <c r="G7" i="1"/>
  <c r="G6" i="1"/>
  <c r="G5" i="1"/>
  <c r="J4" i="1"/>
  <c r="K4" i="1" s="1"/>
  <c r="L4" i="1"/>
  <c r="M4" i="1" s="1"/>
  <c r="H5" i="1"/>
  <c r="J5" i="1"/>
  <c r="K5" i="1" s="1"/>
  <c r="L5" i="1"/>
  <c r="M5" i="1" s="1"/>
  <c r="H6" i="1"/>
  <c r="J6" i="1"/>
  <c r="K6" i="1" s="1"/>
  <c r="L6" i="1"/>
  <c r="M6" i="1" s="1"/>
  <c r="H7" i="1"/>
  <c r="J7" i="1"/>
  <c r="K7" i="1" s="1"/>
  <c r="L7" i="1"/>
  <c r="M7" i="1" s="1"/>
  <c r="H8" i="1"/>
  <c r="J8" i="1"/>
  <c r="K8" i="1" s="1"/>
  <c r="L8" i="1"/>
  <c r="M8" i="1" s="1"/>
  <c r="H9" i="1"/>
  <c r="J9" i="1"/>
  <c r="K9" i="1" s="1"/>
  <c r="L9" i="1"/>
  <c r="M9" i="1" s="1"/>
  <c r="H10" i="1"/>
  <c r="J10" i="1"/>
  <c r="K10" i="1" s="1"/>
  <c r="L10" i="1"/>
  <c r="M10" i="1" s="1"/>
  <c r="H11" i="1"/>
  <c r="J11" i="1"/>
  <c r="K11" i="1" s="1"/>
  <c r="L11" i="1"/>
  <c r="M11" i="1" s="1"/>
  <c r="H12" i="1"/>
  <c r="J12" i="1"/>
  <c r="K12" i="1" s="1"/>
  <c r="L12" i="1"/>
  <c r="M12" i="1" s="1"/>
  <c r="H13" i="1"/>
  <c r="J13" i="1"/>
  <c r="K13" i="1" s="1"/>
  <c r="L13" i="1"/>
  <c r="M13" i="1" s="1"/>
  <c r="H14" i="1"/>
  <c r="J14" i="1"/>
  <c r="K14" i="1" s="1"/>
  <c r="L14" i="1"/>
  <c r="M14" i="1" s="1"/>
  <c r="H15" i="1"/>
  <c r="J15" i="1"/>
  <c r="K15" i="1" s="1"/>
  <c r="L15" i="1"/>
  <c r="M15" i="1" s="1"/>
  <c r="H16" i="1"/>
  <c r="J16" i="1"/>
  <c r="K16" i="1" s="1"/>
  <c r="L16" i="1"/>
  <c r="M16" i="1" s="1"/>
  <c r="C18" i="1"/>
  <c r="D18" i="1"/>
  <c r="I18" i="1"/>
  <c r="C19" i="1"/>
  <c r="D19" i="1"/>
  <c r="E19" i="1"/>
  <c r="F19" i="1"/>
  <c r="I19" i="1"/>
  <c r="N10" i="23" l="1"/>
  <c r="O10" i="23"/>
  <c r="P10" i="23" s="1"/>
  <c r="Q5" i="32"/>
  <c r="Q11" i="32"/>
  <c r="R11" i="32" s="1"/>
  <c r="T18" i="32"/>
  <c r="O4" i="32"/>
  <c r="N9" i="32"/>
  <c r="Q12" i="32"/>
  <c r="R12" i="32" s="1"/>
  <c r="O9" i="32"/>
  <c r="P9" i="32" s="1"/>
  <c r="G17" i="32"/>
  <c r="H17" i="32"/>
  <c r="N4" i="32"/>
  <c r="J17" i="32"/>
  <c r="H18" i="32"/>
  <c r="T19" i="31"/>
  <c r="J19" i="31"/>
  <c r="L19" i="31"/>
  <c r="N4" i="31"/>
  <c r="O4" i="31"/>
  <c r="P4" i="31" s="1"/>
  <c r="L18" i="31"/>
  <c r="Q4" i="31"/>
  <c r="R4" i="31" s="1"/>
  <c r="Q12" i="31"/>
  <c r="R12" i="31" s="1"/>
  <c r="O9" i="31"/>
  <c r="P9" i="31" s="1"/>
  <c r="G19" i="31"/>
  <c r="H19" i="31"/>
  <c r="O10" i="30"/>
  <c r="P10" i="30" s="1"/>
  <c r="N10" i="30"/>
  <c r="T18" i="30"/>
  <c r="L17" i="30"/>
  <c r="N9" i="30"/>
  <c r="O9" i="30"/>
  <c r="P9" i="30" s="1"/>
  <c r="Q12" i="30"/>
  <c r="R12" i="30" s="1"/>
  <c r="G17" i="30"/>
  <c r="L18" i="30"/>
  <c r="M6" i="30"/>
  <c r="H18" i="30"/>
  <c r="N11" i="30"/>
  <c r="H17" i="30"/>
  <c r="Q5" i="30"/>
  <c r="R5" i="30" s="1"/>
  <c r="J18" i="30"/>
  <c r="O11" i="30"/>
  <c r="P11" i="30" s="1"/>
  <c r="J17" i="30"/>
  <c r="N4" i="30"/>
  <c r="M18" i="32"/>
  <c r="M17" i="32"/>
  <c r="G18" i="32"/>
  <c r="K9" i="32"/>
  <c r="K18" i="32" s="1"/>
  <c r="P4" i="32"/>
  <c r="R5" i="32"/>
  <c r="L17" i="32"/>
  <c r="J18" i="32"/>
  <c r="R4" i="32"/>
  <c r="L18" i="32"/>
  <c r="N8" i="32"/>
  <c r="N15" i="32"/>
  <c r="N6" i="32"/>
  <c r="N13" i="32"/>
  <c r="O15" i="32"/>
  <c r="P15" i="32" s="1"/>
  <c r="O6" i="32"/>
  <c r="P6" i="32" s="1"/>
  <c r="Q7" i="32"/>
  <c r="R7" i="32" s="1"/>
  <c r="O13" i="32"/>
  <c r="P13" i="32" s="1"/>
  <c r="Q14" i="32"/>
  <c r="R14" i="32" s="1"/>
  <c r="O8" i="32"/>
  <c r="P8" i="32" s="1"/>
  <c r="N7" i="32"/>
  <c r="O14" i="32"/>
  <c r="P14" i="32" s="1"/>
  <c r="N5" i="32"/>
  <c r="N12" i="32"/>
  <c r="K8" i="31"/>
  <c r="K19" i="31" s="1"/>
  <c r="M9" i="31"/>
  <c r="M8" i="31"/>
  <c r="N8" i="31"/>
  <c r="N15" i="31"/>
  <c r="O8" i="31"/>
  <c r="P8" i="31" s="1"/>
  <c r="O15" i="31"/>
  <c r="P15" i="31" s="1"/>
  <c r="N7" i="31"/>
  <c r="N14" i="31"/>
  <c r="O7" i="31"/>
  <c r="P7" i="31" s="1"/>
  <c r="Q8" i="31"/>
  <c r="R8" i="31" s="1"/>
  <c r="N6" i="31"/>
  <c r="N13" i="31"/>
  <c r="J18" i="31"/>
  <c r="O6" i="31"/>
  <c r="P6" i="31" s="1"/>
  <c r="O13" i="31"/>
  <c r="P13" i="31" s="1"/>
  <c r="Q14" i="31"/>
  <c r="R14" i="31" s="1"/>
  <c r="N5" i="31"/>
  <c r="N18" i="31" s="1"/>
  <c r="N12" i="31"/>
  <c r="K8" i="30"/>
  <c r="M9" i="30"/>
  <c r="R4" i="30"/>
  <c r="N8" i="30"/>
  <c r="N15" i="30"/>
  <c r="O8" i="30"/>
  <c r="P8" i="30" s="1"/>
  <c r="O15" i="30"/>
  <c r="P15" i="30" s="1"/>
  <c r="N7" i="30"/>
  <c r="N14" i="30"/>
  <c r="G18" i="30"/>
  <c r="O14" i="30"/>
  <c r="P14" i="30" s="1"/>
  <c r="N6" i="30"/>
  <c r="N13" i="30"/>
  <c r="O6" i="30"/>
  <c r="P6" i="30" s="1"/>
  <c r="Q7" i="30"/>
  <c r="R7" i="30" s="1"/>
  <c r="O13" i="30"/>
  <c r="P13" i="30" s="1"/>
  <c r="K9" i="30"/>
  <c r="N5" i="30"/>
  <c r="N12" i="30"/>
  <c r="Q12" i="29"/>
  <c r="R12" i="29" s="1"/>
  <c r="T18" i="29"/>
  <c r="N9" i="29"/>
  <c r="O9" i="29"/>
  <c r="P9" i="29" s="1"/>
  <c r="G17" i="29"/>
  <c r="H17" i="29"/>
  <c r="Q5" i="29"/>
  <c r="R5" i="29" s="1"/>
  <c r="R17" i="29" s="1"/>
  <c r="N11" i="29"/>
  <c r="O11" i="29"/>
  <c r="P11" i="29" s="1"/>
  <c r="H18" i="29"/>
  <c r="G18" i="29"/>
  <c r="J18" i="29"/>
  <c r="J17" i="29"/>
  <c r="N4" i="29"/>
  <c r="L18" i="29"/>
  <c r="L17" i="29"/>
  <c r="M8" i="29"/>
  <c r="M17" i="29" s="1"/>
  <c r="N8" i="29"/>
  <c r="N15" i="29"/>
  <c r="O8" i="29"/>
  <c r="P8" i="29" s="1"/>
  <c r="O15" i="29"/>
  <c r="P15" i="29" s="1"/>
  <c r="N7" i="29"/>
  <c r="N14" i="29"/>
  <c r="Q17" i="29"/>
  <c r="O7" i="29"/>
  <c r="P7" i="29" s="1"/>
  <c r="O14" i="29"/>
  <c r="P14" i="29" s="1"/>
  <c r="N6" i="29"/>
  <c r="N13" i="29"/>
  <c r="K8" i="29"/>
  <c r="O6" i="29"/>
  <c r="P6" i="29" s="1"/>
  <c r="O13" i="29"/>
  <c r="P13" i="29" s="1"/>
  <c r="K9" i="29"/>
  <c r="N5" i="29"/>
  <c r="N12" i="29"/>
  <c r="N4" i="28"/>
  <c r="N9" i="28"/>
  <c r="O4" i="28"/>
  <c r="O9" i="28"/>
  <c r="P9" i="28" s="1"/>
  <c r="Q11" i="28"/>
  <c r="R11" i="28" s="1"/>
  <c r="J18" i="28"/>
  <c r="T18" i="28"/>
  <c r="Q12" i="28"/>
  <c r="R12" i="28" s="1"/>
  <c r="J17" i="28"/>
  <c r="G17" i="28"/>
  <c r="H17" i="28"/>
  <c r="Q5" i="28"/>
  <c r="R5" i="28" s="1"/>
  <c r="N11" i="28"/>
  <c r="H18" i="28"/>
  <c r="M18" i="28"/>
  <c r="M17" i="28"/>
  <c r="P4" i="28"/>
  <c r="K8" i="28"/>
  <c r="K17" i="28" s="1"/>
  <c r="R4" i="28"/>
  <c r="L18" i="28"/>
  <c r="N8" i="28"/>
  <c r="N15" i="28"/>
  <c r="O8" i="28"/>
  <c r="P8" i="28" s="1"/>
  <c r="N7" i="28"/>
  <c r="N14" i="28"/>
  <c r="G18" i="28"/>
  <c r="L17" i="28"/>
  <c r="O7" i="28"/>
  <c r="P7" i="28" s="1"/>
  <c r="O14" i="28"/>
  <c r="P14" i="28" s="1"/>
  <c r="N6" i="28"/>
  <c r="N13" i="28"/>
  <c r="O15" i="28"/>
  <c r="P15" i="28" s="1"/>
  <c r="O6" i="28"/>
  <c r="P6" i="28" s="1"/>
  <c r="O13" i="28"/>
  <c r="P13" i="28" s="1"/>
  <c r="N5" i="28"/>
  <c r="N12" i="28"/>
  <c r="N10" i="27"/>
  <c r="O10" i="27"/>
  <c r="P10" i="27" s="1"/>
  <c r="G17" i="27"/>
  <c r="Q11" i="27"/>
  <c r="R11" i="27" s="1"/>
  <c r="T18" i="27"/>
  <c r="N4" i="27"/>
  <c r="O4" i="27"/>
  <c r="N9" i="27"/>
  <c r="Q12" i="27"/>
  <c r="R12" i="27" s="1"/>
  <c r="Q4" i="27"/>
  <c r="O9" i="27"/>
  <c r="P9" i="27" s="1"/>
  <c r="H17" i="27"/>
  <c r="G18" i="27"/>
  <c r="J17" i="27"/>
  <c r="H18" i="27"/>
  <c r="N11" i="27"/>
  <c r="Q5" i="27"/>
  <c r="R5" i="27" s="1"/>
  <c r="M18" i="27"/>
  <c r="M17" i="27"/>
  <c r="K9" i="27"/>
  <c r="K18" i="27" s="1"/>
  <c r="P4" i="27"/>
  <c r="L17" i="27"/>
  <c r="J18" i="27"/>
  <c r="R4" i="27"/>
  <c r="L18" i="27"/>
  <c r="N8" i="27"/>
  <c r="O15" i="27"/>
  <c r="P15" i="27" s="1"/>
  <c r="N6" i="27"/>
  <c r="N17" i="27" s="1"/>
  <c r="N13" i="27"/>
  <c r="O8" i="27"/>
  <c r="P8" i="27" s="1"/>
  <c r="N7" i="27"/>
  <c r="N14" i="27"/>
  <c r="O7" i="27"/>
  <c r="P7" i="27" s="1"/>
  <c r="O6" i="27"/>
  <c r="P6" i="27" s="1"/>
  <c r="O13" i="27"/>
  <c r="P13" i="27" s="1"/>
  <c r="Q14" i="27"/>
  <c r="R14" i="27" s="1"/>
  <c r="Q15" i="27"/>
  <c r="R15" i="27" s="1"/>
  <c r="N5" i="27"/>
  <c r="N12" i="27"/>
  <c r="T18" i="26"/>
  <c r="N10" i="26"/>
  <c r="O10" i="26"/>
  <c r="P10" i="26" s="1"/>
  <c r="J17" i="26"/>
  <c r="L17" i="26"/>
  <c r="N9" i="26"/>
  <c r="Q12" i="26"/>
  <c r="R12" i="26" s="1"/>
  <c r="O9" i="26"/>
  <c r="P9" i="26" s="1"/>
  <c r="Q5" i="26"/>
  <c r="R5" i="26" s="1"/>
  <c r="G17" i="26"/>
  <c r="H18" i="26"/>
  <c r="N11" i="26"/>
  <c r="G18" i="26"/>
  <c r="H17" i="26"/>
  <c r="J18" i="26"/>
  <c r="O11" i="26"/>
  <c r="P11" i="26" s="1"/>
  <c r="K9" i="26"/>
  <c r="P4" i="26"/>
  <c r="K8" i="26"/>
  <c r="K17" i="26" s="1"/>
  <c r="M9" i="26"/>
  <c r="M18" i="26" s="1"/>
  <c r="R4" i="26"/>
  <c r="L18" i="26"/>
  <c r="N8" i="26"/>
  <c r="N15" i="26"/>
  <c r="O8" i="26"/>
  <c r="P8" i="26" s="1"/>
  <c r="O15" i="26"/>
  <c r="P15" i="26" s="1"/>
  <c r="N7" i="26"/>
  <c r="O7" i="26"/>
  <c r="P7" i="26" s="1"/>
  <c r="N6" i="26"/>
  <c r="N13" i="26"/>
  <c r="O6" i="26"/>
  <c r="P6" i="26" s="1"/>
  <c r="O13" i="26"/>
  <c r="P13" i="26" s="1"/>
  <c r="Q14" i="26"/>
  <c r="R14" i="26" s="1"/>
  <c r="N14" i="26"/>
  <c r="N5" i="26"/>
  <c r="N12" i="26"/>
  <c r="T19" i="25"/>
  <c r="L18" i="25"/>
  <c r="N9" i="25"/>
  <c r="O9" i="25"/>
  <c r="P9" i="25" s="1"/>
  <c r="Q12" i="25"/>
  <c r="R12" i="25" s="1"/>
  <c r="G18" i="25"/>
  <c r="H19" i="25"/>
  <c r="H18" i="25"/>
  <c r="Q5" i="25"/>
  <c r="R5" i="25" s="1"/>
  <c r="R19" i="25" s="1"/>
  <c r="N11" i="25"/>
  <c r="G19" i="25"/>
  <c r="J18" i="25"/>
  <c r="L19" i="25"/>
  <c r="O11" i="25"/>
  <c r="P11" i="25" s="1"/>
  <c r="R18" i="25"/>
  <c r="K19" i="25"/>
  <c r="K18" i="25"/>
  <c r="M8" i="25"/>
  <c r="N8" i="25"/>
  <c r="N15" i="25"/>
  <c r="O8" i="25"/>
  <c r="P8" i="25" s="1"/>
  <c r="O15" i="25"/>
  <c r="P15" i="25" s="1"/>
  <c r="M9" i="25"/>
  <c r="J19" i="25"/>
  <c r="N14" i="25"/>
  <c r="N6" i="25"/>
  <c r="N13" i="25"/>
  <c r="Q19" i="25"/>
  <c r="N7" i="25"/>
  <c r="O7" i="25"/>
  <c r="P7" i="25" s="1"/>
  <c r="O14" i="25"/>
  <c r="P14" i="25" s="1"/>
  <c r="O6" i="25"/>
  <c r="P6" i="25" s="1"/>
  <c r="O13" i="25"/>
  <c r="P13" i="25" s="1"/>
  <c r="N5" i="25"/>
  <c r="N12" i="25"/>
  <c r="Q4" i="24"/>
  <c r="Q11" i="24"/>
  <c r="R11" i="24" s="1"/>
  <c r="T18" i="24"/>
  <c r="O4" i="24"/>
  <c r="N9" i="24"/>
  <c r="O9" i="24"/>
  <c r="P9" i="24" s="1"/>
  <c r="Q12" i="24"/>
  <c r="R12" i="24" s="1"/>
  <c r="G17" i="24"/>
  <c r="H18" i="24"/>
  <c r="H17" i="24"/>
  <c r="Q5" i="24"/>
  <c r="R5" i="24" s="1"/>
  <c r="N11" i="24"/>
  <c r="M18" i="24"/>
  <c r="M17" i="24"/>
  <c r="K18" i="24"/>
  <c r="K17" i="24"/>
  <c r="G18" i="24"/>
  <c r="J17" i="24"/>
  <c r="P4" i="24"/>
  <c r="L17" i="24"/>
  <c r="J18" i="24"/>
  <c r="R4" i="24"/>
  <c r="L18" i="24"/>
  <c r="Q8" i="24"/>
  <c r="R8" i="24" s="1"/>
  <c r="N15" i="24"/>
  <c r="O8" i="24"/>
  <c r="P8" i="24" s="1"/>
  <c r="N7" i="24"/>
  <c r="N14" i="24"/>
  <c r="O7" i="24"/>
  <c r="P7" i="24" s="1"/>
  <c r="N6" i="24"/>
  <c r="N13" i="24"/>
  <c r="Q15" i="24"/>
  <c r="R15" i="24" s="1"/>
  <c r="O6" i="24"/>
  <c r="P6" i="24" s="1"/>
  <c r="O13" i="24"/>
  <c r="P13" i="24" s="1"/>
  <c r="Q14" i="24"/>
  <c r="R14" i="24" s="1"/>
  <c r="N5" i="24"/>
  <c r="N12" i="24"/>
  <c r="T18" i="23"/>
  <c r="Q4" i="23"/>
  <c r="N4" i="23"/>
  <c r="N9" i="23"/>
  <c r="Q12" i="23"/>
  <c r="R12" i="23" s="1"/>
  <c r="O9" i="23"/>
  <c r="P9" i="23" s="1"/>
  <c r="Q5" i="23"/>
  <c r="R5" i="23" s="1"/>
  <c r="L17" i="23"/>
  <c r="G17" i="23"/>
  <c r="H18" i="23"/>
  <c r="N11" i="23"/>
  <c r="H17" i="23"/>
  <c r="J18" i="23"/>
  <c r="O11" i="23"/>
  <c r="P11" i="23" s="1"/>
  <c r="J17" i="23"/>
  <c r="R4" i="23"/>
  <c r="P4" i="23"/>
  <c r="K8" i="23"/>
  <c r="M9" i="23"/>
  <c r="M17" i="23" s="1"/>
  <c r="L18" i="23"/>
  <c r="N8" i="23"/>
  <c r="N15" i="23"/>
  <c r="N7" i="23"/>
  <c r="N14" i="23"/>
  <c r="O7" i="23"/>
  <c r="P7" i="23" s="1"/>
  <c r="G18" i="23"/>
  <c r="K9" i="23"/>
  <c r="O8" i="23"/>
  <c r="P8" i="23" s="1"/>
  <c r="Q15" i="23"/>
  <c r="R15" i="23" s="1"/>
  <c r="N6" i="23"/>
  <c r="N13" i="23"/>
  <c r="O6" i="23"/>
  <c r="P6" i="23" s="1"/>
  <c r="O13" i="23"/>
  <c r="P13" i="23" s="1"/>
  <c r="Q14" i="23"/>
  <c r="R14" i="23" s="1"/>
  <c r="N5" i="23"/>
  <c r="N12" i="23"/>
  <c r="N4" i="22"/>
  <c r="T18" i="22"/>
  <c r="Q5" i="22"/>
  <c r="R5" i="22" s="1"/>
  <c r="J17" i="22"/>
  <c r="Q12" i="22"/>
  <c r="R12" i="22" s="1"/>
  <c r="L17" i="22"/>
  <c r="N9" i="22"/>
  <c r="O9" i="22"/>
  <c r="P9" i="22" s="1"/>
  <c r="G17" i="22"/>
  <c r="N11" i="22"/>
  <c r="H17" i="22"/>
  <c r="H18" i="22"/>
  <c r="O11" i="22"/>
  <c r="P11" i="22" s="1"/>
  <c r="P5" i="22"/>
  <c r="P18" i="22" s="1"/>
  <c r="J18" i="22"/>
  <c r="R4" i="22"/>
  <c r="N8" i="22"/>
  <c r="N15" i="22"/>
  <c r="O7" i="22"/>
  <c r="P7" i="22" s="1"/>
  <c r="Q8" i="22"/>
  <c r="R8" i="22" s="1"/>
  <c r="K9" i="22"/>
  <c r="K17" i="22" s="1"/>
  <c r="O14" i="22"/>
  <c r="P14" i="22" s="1"/>
  <c r="N6" i="22"/>
  <c r="N13" i="22"/>
  <c r="G18" i="22"/>
  <c r="M9" i="22"/>
  <c r="M18" i="22" s="1"/>
  <c r="L18" i="22"/>
  <c r="N14" i="22"/>
  <c r="Q15" i="22"/>
  <c r="R15" i="22" s="1"/>
  <c r="O6" i="22"/>
  <c r="P6" i="22" s="1"/>
  <c r="Q7" i="22"/>
  <c r="R7" i="22" s="1"/>
  <c r="O13" i="22"/>
  <c r="P13" i="22" s="1"/>
  <c r="N5" i="22"/>
  <c r="N12" i="22"/>
  <c r="J17" i="21"/>
  <c r="N9" i="21"/>
  <c r="T18" i="21"/>
  <c r="L17" i="21"/>
  <c r="G17" i="21"/>
  <c r="Q5" i="21"/>
  <c r="R5" i="21" s="1"/>
  <c r="Q12" i="21"/>
  <c r="R12" i="21" s="1"/>
  <c r="H17" i="21"/>
  <c r="H18" i="21"/>
  <c r="J18" i="21"/>
  <c r="N11" i="21"/>
  <c r="O11" i="21"/>
  <c r="P11" i="21" s="1"/>
  <c r="G18" i="21"/>
  <c r="N4" i="21"/>
  <c r="O4" i="21"/>
  <c r="P4" i="21" s="1"/>
  <c r="L18" i="21"/>
  <c r="K8" i="21"/>
  <c r="M9" i="21"/>
  <c r="M18" i="21" s="1"/>
  <c r="R4" i="21"/>
  <c r="N8" i="21"/>
  <c r="N15" i="21"/>
  <c r="O8" i="21"/>
  <c r="P8" i="21" s="1"/>
  <c r="O15" i="21"/>
  <c r="P15" i="21" s="1"/>
  <c r="N7" i="21"/>
  <c r="N14" i="21"/>
  <c r="K9" i="21"/>
  <c r="N6" i="21"/>
  <c r="N13" i="21"/>
  <c r="O6" i="21"/>
  <c r="P6" i="21" s="1"/>
  <c r="Q7" i="21"/>
  <c r="R7" i="21" s="1"/>
  <c r="O13" i="21"/>
  <c r="P13" i="21" s="1"/>
  <c r="Q14" i="21"/>
  <c r="R14" i="21" s="1"/>
  <c r="Q8" i="21"/>
  <c r="R8" i="21" s="1"/>
  <c r="N5" i="21"/>
  <c r="N12" i="21"/>
  <c r="T19" i="20"/>
  <c r="J18" i="20"/>
  <c r="O9" i="20"/>
  <c r="P9" i="20" s="1"/>
  <c r="Q9" i="20"/>
  <c r="R9" i="20" s="1"/>
  <c r="Q12" i="20"/>
  <c r="R12" i="20" s="1"/>
  <c r="G18" i="20"/>
  <c r="H19" i="20"/>
  <c r="H18" i="20"/>
  <c r="Q5" i="20"/>
  <c r="R5" i="20" s="1"/>
  <c r="N11" i="20"/>
  <c r="M19" i="20"/>
  <c r="M18" i="20"/>
  <c r="K19" i="20"/>
  <c r="K18" i="20"/>
  <c r="G19" i="20"/>
  <c r="K9" i="20"/>
  <c r="P4" i="20"/>
  <c r="L18" i="20"/>
  <c r="J19" i="20"/>
  <c r="R4" i="20"/>
  <c r="L19" i="20"/>
  <c r="N8" i="20"/>
  <c r="O7" i="20"/>
  <c r="P7" i="20" s="1"/>
  <c r="N15" i="20"/>
  <c r="N6" i="20"/>
  <c r="N18" i="20" s="1"/>
  <c r="N13" i="20"/>
  <c r="N7" i="20"/>
  <c r="N14" i="20"/>
  <c r="Q8" i="20"/>
  <c r="R8" i="20" s="1"/>
  <c r="O6" i="20"/>
  <c r="P6" i="20" s="1"/>
  <c r="O13" i="20"/>
  <c r="P13" i="20" s="1"/>
  <c r="Q14" i="20"/>
  <c r="R14" i="20" s="1"/>
  <c r="Q15" i="20"/>
  <c r="R15" i="20" s="1"/>
  <c r="N5" i="20"/>
  <c r="N12" i="20"/>
  <c r="T19" i="18"/>
  <c r="L18" i="18"/>
  <c r="N9" i="18"/>
  <c r="O9" i="18"/>
  <c r="P9" i="18" s="1"/>
  <c r="Q12" i="18"/>
  <c r="R12" i="18" s="1"/>
  <c r="G18" i="18"/>
  <c r="G19" i="18"/>
  <c r="H18" i="18"/>
  <c r="Q5" i="18"/>
  <c r="R5" i="18" s="1"/>
  <c r="H19" i="18"/>
  <c r="J19" i="18"/>
  <c r="N11" i="18"/>
  <c r="J18" i="18"/>
  <c r="P4" i="18"/>
  <c r="K8" i="18"/>
  <c r="K19" i="18" s="1"/>
  <c r="M9" i="18"/>
  <c r="M19" i="18" s="1"/>
  <c r="R4" i="18"/>
  <c r="L19" i="18"/>
  <c r="N8" i="18"/>
  <c r="N15" i="18"/>
  <c r="O8" i="18"/>
  <c r="P8" i="18" s="1"/>
  <c r="O15" i="18"/>
  <c r="P15" i="18" s="1"/>
  <c r="N14" i="18"/>
  <c r="N6" i="18"/>
  <c r="N13" i="18"/>
  <c r="O6" i="18"/>
  <c r="P6" i="18" s="1"/>
  <c r="Q7" i="18"/>
  <c r="R7" i="18" s="1"/>
  <c r="O13" i="18"/>
  <c r="P13" i="18" s="1"/>
  <c r="Q14" i="18"/>
  <c r="R14" i="18" s="1"/>
  <c r="O7" i="18"/>
  <c r="P7" i="18" s="1"/>
  <c r="Q8" i="18"/>
  <c r="R8" i="18" s="1"/>
  <c r="N5" i="18"/>
  <c r="N12" i="18"/>
  <c r="T18" i="17"/>
  <c r="N10" i="17"/>
  <c r="O10" i="17"/>
  <c r="P10" i="17" s="1"/>
  <c r="N9" i="17"/>
  <c r="L18" i="17"/>
  <c r="M6" i="17"/>
  <c r="L17" i="17"/>
  <c r="Q12" i="17"/>
  <c r="R12" i="17" s="1"/>
  <c r="O9" i="17"/>
  <c r="P9" i="17" s="1"/>
  <c r="G17" i="17"/>
  <c r="Q5" i="17"/>
  <c r="R5" i="17" s="1"/>
  <c r="N11" i="17"/>
  <c r="H17" i="17"/>
  <c r="O11" i="17"/>
  <c r="P11" i="17" s="1"/>
  <c r="H18" i="17"/>
  <c r="J18" i="17"/>
  <c r="G18" i="17"/>
  <c r="K8" i="17"/>
  <c r="K17" i="17" s="1"/>
  <c r="M9" i="17"/>
  <c r="R4" i="17"/>
  <c r="N8" i="17"/>
  <c r="N15" i="17"/>
  <c r="O8" i="17"/>
  <c r="P8" i="17" s="1"/>
  <c r="O15" i="17"/>
  <c r="P15" i="17" s="1"/>
  <c r="N7" i="17"/>
  <c r="N14" i="17"/>
  <c r="Q17" i="17"/>
  <c r="O7" i="17"/>
  <c r="P7" i="17" s="1"/>
  <c r="O14" i="17"/>
  <c r="P14" i="17" s="1"/>
  <c r="N13" i="17"/>
  <c r="N6" i="17"/>
  <c r="O6" i="17"/>
  <c r="P6" i="17" s="1"/>
  <c r="O13" i="17"/>
  <c r="P13" i="17" s="1"/>
  <c r="J17" i="17"/>
  <c r="N5" i="17"/>
  <c r="N12" i="17"/>
  <c r="T19" i="16"/>
  <c r="N9" i="16"/>
  <c r="O9" i="16"/>
  <c r="P9" i="16" s="1"/>
  <c r="Q12" i="16"/>
  <c r="R12" i="16" s="1"/>
  <c r="G18" i="16"/>
  <c r="H19" i="16"/>
  <c r="H18" i="16"/>
  <c r="Q5" i="16"/>
  <c r="R5" i="16" s="1"/>
  <c r="N11" i="16"/>
  <c r="K19" i="16"/>
  <c r="K18" i="16"/>
  <c r="M19" i="16"/>
  <c r="M18" i="16"/>
  <c r="G19" i="16"/>
  <c r="J18" i="16"/>
  <c r="P4" i="16"/>
  <c r="L18" i="16"/>
  <c r="J19" i="16"/>
  <c r="R4" i="16"/>
  <c r="L19" i="16"/>
  <c r="O14" i="16"/>
  <c r="P14" i="16" s="1"/>
  <c r="N6" i="16"/>
  <c r="N18" i="16" s="1"/>
  <c r="N13" i="16"/>
  <c r="N8" i="16"/>
  <c r="O15" i="16"/>
  <c r="P15" i="16" s="1"/>
  <c r="O6" i="16"/>
  <c r="P6" i="16" s="1"/>
  <c r="Q7" i="16"/>
  <c r="R7" i="16" s="1"/>
  <c r="O13" i="16"/>
  <c r="P13" i="16" s="1"/>
  <c r="Q14" i="16"/>
  <c r="R14" i="16" s="1"/>
  <c r="N15" i="16"/>
  <c r="O8" i="16"/>
  <c r="P8" i="16" s="1"/>
  <c r="N7" i="16"/>
  <c r="N5" i="16"/>
  <c r="N12" i="16"/>
  <c r="T18" i="14"/>
  <c r="N10" i="14"/>
  <c r="O10" i="14"/>
  <c r="P10" i="14" s="1"/>
  <c r="O4" i="14"/>
  <c r="Q12" i="14"/>
  <c r="R12" i="14" s="1"/>
  <c r="Q9" i="14"/>
  <c r="R9" i="14" s="1"/>
  <c r="N9" i="14"/>
  <c r="H18" i="14"/>
  <c r="G17" i="14"/>
  <c r="Q5" i="14"/>
  <c r="R5" i="14" s="1"/>
  <c r="N11" i="14"/>
  <c r="J17" i="14"/>
  <c r="H17" i="14"/>
  <c r="M18" i="14"/>
  <c r="M17" i="14"/>
  <c r="G18" i="14"/>
  <c r="K9" i="14"/>
  <c r="K18" i="14" s="1"/>
  <c r="P4" i="14"/>
  <c r="L17" i="14"/>
  <c r="J18" i="14"/>
  <c r="R4" i="14"/>
  <c r="L18" i="14"/>
  <c r="N8" i="14"/>
  <c r="O8" i="14"/>
  <c r="P8" i="14" s="1"/>
  <c r="N7" i="14"/>
  <c r="N14" i="14"/>
  <c r="O7" i="14"/>
  <c r="P7" i="14" s="1"/>
  <c r="N6" i="14"/>
  <c r="N13" i="14"/>
  <c r="N15" i="14"/>
  <c r="O15" i="14"/>
  <c r="P15" i="14" s="1"/>
  <c r="O6" i="14"/>
  <c r="P6" i="14" s="1"/>
  <c r="O13" i="14"/>
  <c r="P13" i="14" s="1"/>
  <c r="Q14" i="14"/>
  <c r="R14" i="14" s="1"/>
  <c r="N5" i="14"/>
  <c r="N12" i="14"/>
  <c r="T19" i="13"/>
  <c r="J19" i="13"/>
  <c r="G18" i="13"/>
  <c r="H18" i="13"/>
  <c r="N10" i="13"/>
  <c r="O10" i="13"/>
  <c r="P10" i="13" s="1"/>
  <c r="O4" i="13"/>
  <c r="P4" i="13" s="1"/>
  <c r="N9" i="13"/>
  <c r="Q4" i="13"/>
  <c r="R4" i="13" s="1"/>
  <c r="O9" i="13"/>
  <c r="P9" i="13" s="1"/>
  <c r="J18" i="13"/>
  <c r="N4" i="13"/>
  <c r="L18" i="13"/>
  <c r="H19" i="13"/>
  <c r="Q12" i="13"/>
  <c r="R12" i="13" s="1"/>
  <c r="L19" i="13"/>
  <c r="O7" i="13"/>
  <c r="P7" i="13" s="1"/>
  <c r="Q8" i="13"/>
  <c r="R8" i="13" s="1"/>
  <c r="O14" i="13"/>
  <c r="P14" i="13" s="1"/>
  <c r="K8" i="13"/>
  <c r="M9" i="13"/>
  <c r="M19" i="13" s="1"/>
  <c r="O15" i="13"/>
  <c r="P15" i="13" s="1"/>
  <c r="N14" i="13"/>
  <c r="N6" i="13"/>
  <c r="N13" i="13"/>
  <c r="K9" i="13"/>
  <c r="N15" i="13"/>
  <c r="O6" i="13"/>
  <c r="P6" i="13" s="1"/>
  <c r="P18" i="13" s="1"/>
  <c r="Q7" i="13"/>
  <c r="R7" i="13" s="1"/>
  <c r="O13" i="13"/>
  <c r="P13" i="13" s="1"/>
  <c r="N5" i="13"/>
  <c r="N12" i="13"/>
  <c r="G19" i="13"/>
  <c r="N8" i="13"/>
  <c r="O11" i="12"/>
  <c r="P11" i="12" s="1"/>
  <c r="T18" i="12"/>
  <c r="Q11" i="12"/>
  <c r="R11" i="12" s="1"/>
  <c r="N9" i="12"/>
  <c r="O9" i="12"/>
  <c r="P9" i="12" s="1"/>
  <c r="G17" i="12"/>
  <c r="H17" i="12"/>
  <c r="J17" i="12"/>
  <c r="N4" i="12"/>
  <c r="N17" i="12" s="1"/>
  <c r="L17" i="12"/>
  <c r="O4" i="12"/>
  <c r="P4" i="12" s="1"/>
  <c r="Q4" i="12"/>
  <c r="R4" i="12" s="1"/>
  <c r="H18" i="12"/>
  <c r="J18" i="12"/>
  <c r="P5" i="12"/>
  <c r="K9" i="12"/>
  <c r="K17" i="12" s="1"/>
  <c r="M9" i="12"/>
  <c r="M18" i="12" s="1"/>
  <c r="L18" i="12"/>
  <c r="O15" i="12"/>
  <c r="P15" i="12" s="1"/>
  <c r="N6" i="12"/>
  <c r="N13" i="12"/>
  <c r="G18" i="12"/>
  <c r="O8" i="12"/>
  <c r="P8" i="12" s="1"/>
  <c r="N7" i="12"/>
  <c r="N14" i="12"/>
  <c r="O7" i="12"/>
  <c r="P7" i="12" s="1"/>
  <c r="Q8" i="12"/>
  <c r="R8" i="12" s="1"/>
  <c r="O14" i="12"/>
  <c r="P14" i="12" s="1"/>
  <c r="O6" i="12"/>
  <c r="P6" i="12" s="1"/>
  <c r="O13" i="12"/>
  <c r="P13" i="12" s="1"/>
  <c r="N15" i="12"/>
  <c r="N5" i="12"/>
  <c r="N12" i="12"/>
  <c r="T18" i="11"/>
  <c r="Q11" i="11"/>
  <c r="R11" i="11" s="1"/>
  <c r="N9" i="11"/>
  <c r="O4" i="11"/>
  <c r="Q5" i="11"/>
  <c r="R5" i="11" s="1"/>
  <c r="N10" i="11"/>
  <c r="L18" i="11"/>
  <c r="O10" i="11"/>
  <c r="P10" i="11" s="1"/>
  <c r="G18" i="11"/>
  <c r="H17" i="11"/>
  <c r="N4" i="11"/>
  <c r="L17" i="11"/>
  <c r="O9" i="11"/>
  <c r="P9" i="11" s="1"/>
  <c r="N11" i="11"/>
  <c r="Q12" i="11"/>
  <c r="R12" i="11" s="1"/>
  <c r="G17" i="11"/>
  <c r="H18" i="11"/>
  <c r="K17" i="11"/>
  <c r="K18" i="11"/>
  <c r="J18" i="11"/>
  <c r="O15" i="11"/>
  <c r="P15" i="11" s="1"/>
  <c r="O7" i="11"/>
  <c r="P7" i="11" s="1"/>
  <c r="Q8" i="11"/>
  <c r="R8" i="11" s="1"/>
  <c r="O14" i="11"/>
  <c r="P14" i="11" s="1"/>
  <c r="Q15" i="11"/>
  <c r="R15" i="11" s="1"/>
  <c r="P4" i="11"/>
  <c r="M9" i="11"/>
  <c r="N6" i="11"/>
  <c r="N13" i="11"/>
  <c r="J17" i="11"/>
  <c r="O6" i="11"/>
  <c r="P6" i="11" s="1"/>
  <c r="Q7" i="11"/>
  <c r="R7" i="11" s="1"/>
  <c r="O13" i="11"/>
  <c r="P13" i="11" s="1"/>
  <c r="Q14" i="11"/>
  <c r="R14" i="11" s="1"/>
  <c r="M8" i="11"/>
  <c r="N8" i="11"/>
  <c r="N5" i="11"/>
  <c r="N12" i="11"/>
  <c r="T19" i="9"/>
  <c r="L18" i="9"/>
  <c r="G18" i="9"/>
  <c r="H18" i="9"/>
  <c r="Q5" i="9"/>
  <c r="R5" i="9" s="1"/>
  <c r="N11" i="9"/>
  <c r="G19" i="9"/>
  <c r="Q11" i="9"/>
  <c r="R11" i="9" s="1"/>
  <c r="N10" i="9"/>
  <c r="H19" i="9"/>
  <c r="N4" i="9"/>
  <c r="O10" i="9"/>
  <c r="P10" i="9" s="1"/>
  <c r="O4" i="9"/>
  <c r="O18" i="9" s="1"/>
  <c r="K18" i="9"/>
  <c r="K19" i="9"/>
  <c r="R4" i="9"/>
  <c r="L19" i="9"/>
  <c r="N8" i="9"/>
  <c r="N15" i="9"/>
  <c r="O8" i="9"/>
  <c r="P8" i="9" s="1"/>
  <c r="O15" i="9"/>
  <c r="P15" i="9" s="1"/>
  <c r="N7" i="9"/>
  <c r="N14" i="9"/>
  <c r="J18" i="9"/>
  <c r="J19" i="9"/>
  <c r="O7" i="9"/>
  <c r="P7" i="9" s="1"/>
  <c r="N6" i="9"/>
  <c r="N13" i="9"/>
  <c r="O6" i="9"/>
  <c r="P6" i="9" s="1"/>
  <c r="O13" i="9"/>
  <c r="P13" i="9" s="1"/>
  <c r="Q14" i="9"/>
  <c r="R14" i="9" s="1"/>
  <c r="M9" i="9"/>
  <c r="M19" i="9" s="1"/>
  <c r="N5" i="9"/>
  <c r="N12" i="9"/>
  <c r="T19" i="7"/>
  <c r="G18" i="7"/>
  <c r="H18" i="7"/>
  <c r="Q5" i="7"/>
  <c r="R5" i="7" s="1"/>
  <c r="N11" i="7"/>
  <c r="J18" i="7"/>
  <c r="J19" i="7"/>
  <c r="Q11" i="7"/>
  <c r="R11" i="7" s="1"/>
  <c r="L18" i="7"/>
  <c r="N4" i="7"/>
  <c r="L19" i="7"/>
  <c r="G19" i="7"/>
  <c r="O4" i="7"/>
  <c r="P4" i="7" s="1"/>
  <c r="N10" i="7"/>
  <c r="H19" i="7"/>
  <c r="Q4" i="7"/>
  <c r="R4" i="7"/>
  <c r="M8" i="7"/>
  <c r="N8" i="7"/>
  <c r="N15" i="7"/>
  <c r="O8" i="7"/>
  <c r="P8" i="7" s="1"/>
  <c r="O15" i="7"/>
  <c r="P15" i="7" s="1"/>
  <c r="N7" i="7"/>
  <c r="N14" i="7"/>
  <c r="O7" i="7"/>
  <c r="P7" i="7" s="1"/>
  <c r="M9" i="7"/>
  <c r="N6" i="7"/>
  <c r="N13" i="7"/>
  <c r="O6" i="7"/>
  <c r="P6" i="7" s="1"/>
  <c r="P19" i="7" s="1"/>
  <c r="O13" i="7"/>
  <c r="P13" i="7" s="1"/>
  <c r="Q14" i="7"/>
  <c r="R14" i="7" s="1"/>
  <c r="K9" i="7"/>
  <c r="N5" i="7"/>
  <c r="N12" i="7"/>
  <c r="K8" i="7"/>
  <c r="K19" i="7" s="1"/>
  <c r="L17" i="6"/>
  <c r="O4" i="6"/>
  <c r="T18" i="6"/>
  <c r="M4" i="6"/>
  <c r="M18" i="6" s="1"/>
  <c r="N10" i="6"/>
  <c r="J17" i="6"/>
  <c r="O10" i="6"/>
  <c r="P10" i="6" s="1"/>
  <c r="N9" i="6"/>
  <c r="Q12" i="6"/>
  <c r="R12" i="6" s="1"/>
  <c r="G17" i="6"/>
  <c r="Q5" i="6"/>
  <c r="R5" i="6" s="1"/>
  <c r="O9" i="6"/>
  <c r="P9" i="6" s="1"/>
  <c r="H18" i="6"/>
  <c r="H17" i="6"/>
  <c r="K7" i="6"/>
  <c r="K18" i="6" s="1"/>
  <c r="N4" i="6"/>
  <c r="G18" i="6"/>
  <c r="P4" i="6"/>
  <c r="J18" i="6"/>
  <c r="R4" i="6"/>
  <c r="L18" i="6"/>
  <c r="N14" i="6"/>
  <c r="N6" i="6"/>
  <c r="N13" i="6"/>
  <c r="N7" i="6"/>
  <c r="O7" i="6"/>
  <c r="P7" i="6" s="1"/>
  <c r="O6" i="6"/>
  <c r="P6" i="6" s="1"/>
  <c r="O13" i="6"/>
  <c r="P13" i="6" s="1"/>
  <c r="Q14" i="6"/>
  <c r="R14" i="6" s="1"/>
  <c r="N5" i="6"/>
  <c r="N12" i="6"/>
  <c r="T19" i="4"/>
  <c r="Q9" i="4"/>
  <c r="R9" i="4" s="1"/>
  <c r="O9" i="4"/>
  <c r="P9" i="4" s="1"/>
  <c r="N9" i="4"/>
  <c r="N16" i="4"/>
  <c r="Q16" i="4"/>
  <c r="R16" i="4" s="1"/>
  <c r="O16" i="4"/>
  <c r="P16" i="4" s="1"/>
  <c r="H12" i="4"/>
  <c r="J12" i="4"/>
  <c r="K12" i="4" s="1"/>
  <c r="L19" i="4"/>
  <c r="G12" i="4"/>
  <c r="N12" i="4" s="1"/>
  <c r="L18" i="4"/>
  <c r="G11" i="4"/>
  <c r="E19" i="4"/>
  <c r="G5" i="4"/>
  <c r="G19" i="4" s="1"/>
  <c r="H11" i="4"/>
  <c r="J11" i="4"/>
  <c r="K11" i="4" s="1"/>
  <c r="L10" i="4"/>
  <c r="M10" i="4" s="1"/>
  <c r="G4" i="4"/>
  <c r="G13" i="4"/>
  <c r="Q13" i="4" s="1"/>
  <c r="R13" i="4" s="1"/>
  <c r="H4" i="4"/>
  <c r="G10" i="4"/>
  <c r="H13" i="4"/>
  <c r="O4" i="4"/>
  <c r="J18" i="4"/>
  <c r="H19" i="4"/>
  <c r="K8" i="4"/>
  <c r="M9" i="4"/>
  <c r="M8" i="4"/>
  <c r="M19" i="4" s="1"/>
  <c r="N8" i="4"/>
  <c r="N15" i="4"/>
  <c r="O8" i="4"/>
  <c r="P8" i="4" s="1"/>
  <c r="O15" i="4"/>
  <c r="P15" i="4" s="1"/>
  <c r="N7" i="4"/>
  <c r="N14" i="4"/>
  <c r="O7" i="4"/>
  <c r="P7" i="4" s="1"/>
  <c r="O14" i="4"/>
  <c r="P14" i="4" s="1"/>
  <c r="N6" i="4"/>
  <c r="O6" i="4"/>
  <c r="P6" i="4" s="1"/>
  <c r="T19" i="3"/>
  <c r="S19" i="3"/>
  <c r="L5" i="3"/>
  <c r="M5" i="3" s="1"/>
  <c r="I19" i="3"/>
  <c r="L4" i="3"/>
  <c r="M4" i="3" s="1"/>
  <c r="J11" i="3"/>
  <c r="K11" i="3" s="1"/>
  <c r="L6" i="3"/>
  <c r="M6" i="3" s="1"/>
  <c r="M18" i="3" s="1"/>
  <c r="J8" i="3"/>
  <c r="K8" i="3" s="1"/>
  <c r="Q11" i="3"/>
  <c r="R11" i="3" s="1"/>
  <c r="O11" i="3"/>
  <c r="P11" i="3" s="1"/>
  <c r="N11" i="3"/>
  <c r="H10" i="3"/>
  <c r="Q5" i="3"/>
  <c r="R5" i="3" s="1"/>
  <c r="J10" i="3"/>
  <c r="K10" i="3" s="1"/>
  <c r="G14" i="3"/>
  <c r="O14" i="3" s="1"/>
  <c r="P14" i="3" s="1"/>
  <c r="N16" i="3"/>
  <c r="G4" i="3"/>
  <c r="H14" i="3"/>
  <c r="O16" i="3"/>
  <c r="P16" i="3" s="1"/>
  <c r="H4" i="3"/>
  <c r="H18" i="3" s="1"/>
  <c r="G6" i="3"/>
  <c r="Q6" i="3" s="1"/>
  <c r="R6" i="3" s="1"/>
  <c r="L10" i="3"/>
  <c r="M10" i="3" s="1"/>
  <c r="G10" i="3"/>
  <c r="G12" i="3"/>
  <c r="J6" i="3"/>
  <c r="K6" i="3" s="1"/>
  <c r="H12" i="3"/>
  <c r="L12" i="3"/>
  <c r="M12" i="3" s="1"/>
  <c r="H15" i="3"/>
  <c r="G7" i="3"/>
  <c r="Q7" i="3" s="1"/>
  <c r="R7" i="3" s="1"/>
  <c r="N9" i="3"/>
  <c r="J15" i="3"/>
  <c r="K15" i="3" s="1"/>
  <c r="K9" i="3"/>
  <c r="O8" i="3"/>
  <c r="P8" i="3" s="1"/>
  <c r="N7" i="3"/>
  <c r="N14" i="3"/>
  <c r="O7" i="3"/>
  <c r="P7" i="3" s="1"/>
  <c r="Q8" i="3"/>
  <c r="R8" i="3" s="1"/>
  <c r="N13" i="3"/>
  <c r="G19" i="3"/>
  <c r="O15" i="3"/>
  <c r="P15" i="3" s="1"/>
  <c r="O13" i="3"/>
  <c r="P13" i="3" s="1"/>
  <c r="N15" i="3"/>
  <c r="N5" i="3"/>
  <c r="N12" i="3"/>
  <c r="O18" i="1"/>
  <c r="T19" i="1"/>
  <c r="G19" i="1"/>
  <c r="G18" i="1"/>
  <c r="L18" i="1"/>
  <c r="H18" i="1"/>
  <c r="H19" i="1"/>
  <c r="J18" i="1"/>
  <c r="J19" i="1"/>
  <c r="M18" i="1"/>
  <c r="M19" i="1"/>
  <c r="K18" i="1"/>
  <c r="K19" i="1"/>
  <c r="L19" i="1"/>
  <c r="N17" i="32" l="1"/>
  <c r="M18" i="31"/>
  <c r="N19" i="31"/>
  <c r="P18" i="31"/>
  <c r="N18" i="30"/>
  <c r="K18" i="30"/>
  <c r="P18" i="30"/>
  <c r="N17" i="30"/>
  <c r="M18" i="30"/>
  <c r="Q18" i="32"/>
  <c r="O18" i="32"/>
  <c r="P18" i="32"/>
  <c r="P17" i="32"/>
  <c r="O17" i="32"/>
  <c r="N18" i="32"/>
  <c r="K17" i="32"/>
  <c r="Q17" i="32"/>
  <c r="R18" i="32"/>
  <c r="R17" i="32"/>
  <c r="K18" i="31"/>
  <c r="R18" i="31"/>
  <c r="R19" i="31"/>
  <c r="P19" i="31"/>
  <c r="Q19" i="31"/>
  <c r="Q18" i="31"/>
  <c r="M19" i="31"/>
  <c r="O19" i="31"/>
  <c r="O18" i="31"/>
  <c r="Q18" i="30"/>
  <c r="K17" i="30"/>
  <c r="M17" i="30"/>
  <c r="O18" i="30"/>
  <c r="P17" i="30"/>
  <c r="R17" i="30"/>
  <c r="R18" i="30"/>
  <c r="Q17" i="30"/>
  <c r="O17" i="30"/>
  <c r="R18" i="29"/>
  <c r="N18" i="29"/>
  <c r="N17" i="29"/>
  <c r="P18" i="29"/>
  <c r="K17" i="29"/>
  <c r="Q18" i="29"/>
  <c r="P17" i="29"/>
  <c r="O18" i="29"/>
  <c r="K18" i="29"/>
  <c r="O17" i="29"/>
  <c r="M18" i="29"/>
  <c r="Q18" i="28"/>
  <c r="Q17" i="28"/>
  <c r="N18" i="28"/>
  <c r="N17" i="28"/>
  <c r="P17" i="28"/>
  <c r="P18" i="28"/>
  <c r="K18" i="28"/>
  <c r="O18" i="28"/>
  <c r="R18" i="28"/>
  <c r="R17" i="28"/>
  <c r="O17" i="28"/>
  <c r="N18" i="27"/>
  <c r="P17" i="27"/>
  <c r="P18" i="27"/>
  <c r="O18" i="27"/>
  <c r="K17" i="27"/>
  <c r="R18" i="27"/>
  <c r="R17" i="27"/>
  <c r="Q18" i="27"/>
  <c r="O17" i="27"/>
  <c r="Q17" i="27"/>
  <c r="K18" i="26"/>
  <c r="N17" i="26"/>
  <c r="N18" i="26"/>
  <c r="M17" i="26"/>
  <c r="O17" i="26"/>
  <c r="R18" i="26"/>
  <c r="R17" i="26"/>
  <c r="P18" i="26"/>
  <c r="P17" i="26"/>
  <c r="Q17" i="26"/>
  <c r="Q18" i="26"/>
  <c r="O18" i="26"/>
  <c r="M19" i="25"/>
  <c r="N18" i="25"/>
  <c r="N19" i="25"/>
  <c r="P19" i="25"/>
  <c r="Q18" i="25"/>
  <c r="P18" i="25"/>
  <c r="O18" i="25"/>
  <c r="M18" i="25"/>
  <c r="O19" i="25"/>
  <c r="N18" i="24"/>
  <c r="N17" i="24"/>
  <c r="R17" i="24"/>
  <c r="R18" i="24"/>
  <c r="Q18" i="24"/>
  <c r="P17" i="24"/>
  <c r="P18" i="24"/>
  <c r="O18" i="24"/>
  <c r="Q17" i="24"/>
  <c r="O17" i="24"/>
  <c r="K17" i="23"/>
  <c r="N17" i="23"/>
  <c r="K18" i="23"/>
  <c r="P17" i="23"/>
  <c r="P18" i="23"/>
  <c r="R17" i="23"/>
  <c r="R18" i="23"/>
  <c r="Q17" i="23"/>
  <c r="M18" i="23"/>
  <c r="Q18" i="23"/>
  <c r="N18" i="23"/>
  <c r="O17" i="23"/>
  <c r="O18" i="23"/>
  <c r="K18" i="22"/>
  <c r="N17" i="22"/>
  <c r="N18" i="22"/>
  <c r="P17" i="22"/>
  <c r="Q17" i="22"/>
  <c r="Q18" i="22"/>
  <c r="M17" i="22"/>
  <c r="R17" i="22"/>
  <c r="R18" i="22"/>
  <c r="O18" i="22"/>
  <c r="O17" i="22"/>
  <c r="K17" i="21"/>
  <c r="N18" i="21"/>
  <c r="P18" i="21"/>
  <c r="N17" i="21"/>
  <c r="P17" i="21"/>
  <c r="O18" i="21"/>
  <c r="M17" i="21"/>
  <c r="R17" i="21"/>
  <c r="R18" i="21"/>
  <c r="Q17" i="21"/>
  <c r="K18" i="21"/>
  <c r="O17" i="21"/>
  <c r="Q18" i="21"/>
  <c r="N19" i="20"/>
  <c r="P19" i="20"/>
  <c r="P18" i="20"/>
  <c r="Q19" i="20"/>
  <c r="R19" i="20"/>
  <c r="R18" i="20"/>
  <c r="O18" i="20"/>
  <c r="Q18" i="20"/>
  <c r="O19" i="20"/>
  <c r="N19" i="18"/>
  <c r="N18" i="18"/>
  <c r="R19" i="18"/>
  <c r="R18" i="18"/>
  <c r="K18" i="18"/>
  <c r="O18" i="18"/>
  <c r="M18" i="18"/>
  <c r="Q19" i="18"/>
  <c r="P19" i="18"/>
  <c r="P18" i="18"/>
  <c r="Q18" i="18"/>
  <c r="O19" i="18"/>
  <c r="M18" i="17"/>
  <c r="N18" i="17"/>
  <c r="N17" i="17"/>
  <c r="Q18" i="17"/>
  <c r="P18" i="17"/>
  <c r="K18" i="17"/>
  <c r="M17" i="17"/>
  <c r="O18" i="17"/>
  <c r="P17" i="17"/>
  <c r="R18" i="17"/>
  <c r="R17" i="17"/>
  <c r="O17" i="17"/>
  <c r="N19" i="16"/>
  <c r="P19" i="16"/>
  <c r="P18" i="16"/>
  <c r="R19" i="16"/>
  <c r="R18" i="16"/>
  <c r="O18" i="16"/>
  <c r="Q18" i="16"/>
  <c r="Q19" i="16"/>
  <c r="O19" i="16"/>
  <c r="N17" i="14"/>
  <c r="Q18" i="14"/>
  <c r="N18" i="14"/>
  <c r="O18" i="14"/>
  <c r="K17" i="14"/>
  <c r="P17" i="14"/>
  <c r="P18" i="14"/>
  <c r="R17" i="14"/>
  <c r="R18" i="14"/>
  <c r="Q17" i="14"/>
  <c r="O17" i="14"/>
  <c r="N18" i="13"/>
  <c r="K18" i="13"/>
  <c r="M18" i="13"/>
  <c r="R19" i="13"/>
  <c r="R18" i="13"/>
  <c r="Q18" i="13"/>
  <c r="N19" i="13"/>
  <c r="K19" i="13"/>
  <c r="O19" i="13"/>
  <c r="Q19" i="13"/>
  <c r="O18" i="13"/>
  <c r="P19" i="13"/>
  <c r="N18" i="12"/>
  <c r="O17" i="12"/>
  <c r="O18" i="12"/>
  <c r="R18" i="12"/>
  <c r="R17" i="12"/>
  <c r="M17" i="12"/>
  <c r="Q18" i="12"/>
  <c r="K18" i="12"/>
  <c r="P18" i="12"/>
  <c r="P17" i="12"/>
  <c r="Q17" i="12"/>
  <c r="M18" i="11"/>
  <c r="R18" i="11"/>
  <c r="N17" i="11"/>
  <c r="O17" i="11"/>
  <c r="Q17" i="11"/>
  <c r="Q18" i="11"/>
  <c r="M17" i="11"/>
  <c r="P17" i="11"/>
  <c r="P18" i="11"/>
  <c r="R17" i="11"/>
  <c r="O18" i="11"/>
  <c r="N18" i="11"/>
  <c r="P4" i="9"/>
  <c r="N19" i="9"/>
  <c r="N18" i="9"/>
  <c r="O19" i="9"/>
  <c r="Q19" i="9"/>
  <c r="M18" i="9"/>
  <c r="R19" i="9"/>
  <c r="R18" i="9"/>
  <c r="P19" i="9"/>
  <c r="P18" i="9"/>
  <c r="Q18" i="9"/>
  <c r="N18" i="7"/>
  <c r="M18" i="7"/>
  <c r="O18" i="7"/>
  <c r="Q18" i="7"/>
  <c r="N19" i="7"/>
  <c r="M19" i="7"/>
  <c r="Q19" i="7"/>
  <c r="P18" i="7"/>
  <c r="O19" i="7"/>
  <c r="K18" i="7"/>
  <c r="R19" i="7"/>
  <c r="R18" i="7"/>
  <c r="M17" i="6"/>
  <c r="O18" i="6"/>
  <c r="P17" i="6"/>
  <c r="P18" i="6"/>
  <c r="N17" i="6"/>
  <c r="N18" i="6"/>
  <c r="K17" i="6"/>
  <c r="Q18" i="6"/>
  <c r="Q17" i="6"/>
  <c r="O17" i="6"/>
  <c r="R18" i="6"/>
  <c r="R17" i="6"/>
  <c r="G18" i="4"/>
  <c r="Q4" i="4"/>
  <c r="N4" i="4"/>
  <c r="O11" i="4"/>
  <c r="P11" i="4" s="1"/>
  <c r="N11" i="4"/>
  <c r="Q11" i="4"/>
  <c r="R11" i="4" s="1"/>
  <c r="Q10" i="4"/>
  <c r="R10" i="4" s="1"/>
  <c r="O10" i="4"/>
  <c r="P10" i="4" s="1"/>
  <c r="N10" i="4"/>
  <c r="O13" i="4"/>
  <c r="P13" i="4" s="1"/>
  <c r="J19" i="4"/>
  <c r="O5" i="4"/>
  <c r="P5" i="4" s="1"/>
  <c r="Q5" i="4"/>
  <c r="R5" i="4" s="1"/>
  <c r="O12" i="4"/>
  <c r="P12" i="4" s="1"/>
  <c r="Q12" i="4"/>
  <c r="R12" i="4" s="1"/>
  <c r="H18" i="4"/>
  <c r="N5" i="4"/>
  <c r="N13" i="4"/>
  <c r="K19" i="4"/>
  <c r="M18" i="4"/>
  <c r="P4" i="4"/>
  <c r="K18" i="4"/>
  <c r="K19" i="3"/>
  <c r="M19" i="3"/>
  <c r="J18" i="3"/>
  <c r="L19" i="3"/>
  <c r="N6" i="3"/>
  <c r="G18" i="3"/>
  <c r="Q4" i="3"/>
  <c r="R4" i="3" s="1"/>
  <c r="O4" i="3"/>
  <c r="P4" i="3" s="1"/>
  <c r="N4" i="3"/>
  <c r="J19" i="3"/>
  <c r="O12" i="3"/>
  <c r="P12" i="3" s="1"/>
  <c r="Q12" i="3"/>
  <c r="R12" i="3" s="1"/>
  <c r="O6" i="3"/>
  <c r="P6" i="3" s="1"/>
  <c r="P19" i="3" s="1"/>
  <c r="L18" i="3"/>
  <c r="Q10" i="3"/>
  <c r="R10" i="3" s="1"/>
  <c r="O10" i="3"/>
  <c r="P10" i="3" s="1"/>
  <c r="N10" i="3"/>
  <c r="N19" i="3" s="1"/>
  <c r="Q14" i="3"/>
  <c r="R14" i="3" s="1"/>
  <c r="H19" i="3"/>
  <c r="K18" i="3"/>
  <c r="O19" i="4" l="1"/>
  <c r="O18" i="4"/>
  <c r="N18" i="4"/>
  <c r="N19" i="4"/>
  <c r="Q18" i="4"/>
  <c r="R4" i="4"/>
  <c r="Q19" i="4"/>
  <c r="P19" i="4"/>
  <c r="P18" i="4"/>
  <c r="P18" i="3"/>
  <c r="R18" i="3"/>
  <c r="Q19" i="3"/>
  <c r="R19" i="3"/>
  <c r="N18" i="3"/>
  <c r="O18" i="3"/>
  <c r="Q18" i="3"/>
  <c r="O19" i="3"/>
  <c r="R19" i="4" l="1"/>
  <c r="R18" i="4"/>
</calcChain>
</file>

<file path=xl/sharedStrings.xml><?xml version="1.0" encoding="utf-8"?>
<sst xmlns="http://schemas.openxmlformats.org/spreadsheetml/2006/main" count="1264" uniqueCount="254">
  <si>
    <t>Final Ranking AP Poll: 5</t>
  </si>
  <si>
    <t>Final Ranking Coaches Poll:</t>
  </si>
  <si>
    <t>Playoffs: Yes</t>
  </si>
  <si>
    <t>Week #</t>
  </si>
  <si>
    <t>Opponent</t>
  </si>
  <si>
    <t>Final Score (PF)</t>
  </si>
  <si>
    <t>Final Score (PA)</t>
  </si>
  <si>
    <t>Unweighted Spread</t>
  </si>
  <si>
    <t>Unweighted Odds</t>
  </si>
  <si>
    <t>Total O/U</t>
  </si>
  <si>
    <t>Moneyline Net Odds</t>
  </si>
  <si>
    <t>Implied Win % Chance</t>
  </si>
  <si>
    <t>West Virginia</t>
  </si>
  <si>
    <t>Bowling Green</t>
  </si>
  <si>
    <t>Kent State</t>
  </si>
  <si>
    <t>Illinois</t>
  </si>
  <si>
    <t>UCLA</t>
  </si>
  <si>
    <t>USC</t>
  </si>
  <si>
    <t>Wisconsin</t>
  </si>
  <si>
    <t>Ohio State</t>
  </si>
  <si>
    <t>Washington</t>
  </si>
  <si>
    <t>Purdue</t>
  </si>
  <si>
    <t>Minnesota</t>
  </si>
  <si>
    <t>Maryland</t>
  </si>
  <si>
    <t>Oregon</t>
  </si>
  <si>
    <t>Net</t>
  </si>
  <si>
    <t>Average</t>
  </si>
  <si>
    <t>Final Ranking AP Poll:</t>
  </si>
  <si>
    <t>Playoffs:</t>
  </si>
  <si>
    <t>Conference:</t>
  </si>
  <si>
    <t>Final Ranking AP Poll: 1</t>
  </si>
  <si>
    <t>Final Ranking Coaches Poll: 1</t>
  </si>
  <si>
    <t>Idaho</t>
  </si>
  <si>
    <t>Boise State</t>
  </si>
  <si>
    <t>Oregon State</t>
  </si>
  <si>
    <t>Michigan State</t>
  </si>
  <si>
    <t>Michigan</t>
  </si>
  <si>
    <t>Penn State</t>
  </si>
  <si>
    <t>Final Ranking AP Poll: 2</t>
  </si>
  <si>
    <t>Final Ranking Coaches Poll: 2</t>
  </si>
  <si>
    <t>Clemson</t>
  </si>
  <si>
    <t>Tennessee Tech</t>
  </si>
  <si>
    <t>Kentucky</t>
  </si>
  <si>
    <t>Alabama</t>
  </si>
  <si>
    <t>Auburn</t>
  </si>
  <si>
    <t>Mississippi State</t>
  </si>
  <si>
    <t>Texas</t>
  </si>
  <si>
    <t>Florida</t>
  </si>
  <si>
    <t>Ole Miss</t>
  </si>
  <si>
    <t>Tennessee</t>
  </si>
  <si>
    <t>UMass</t>
  </si>
  <si>
    <t>Georgia Tech</t>
  </si>
  <si>
    <t>SEC Championship</t>
  </si>
  <si>
    <t>Conference: SEC</t>
  </si>
  <si>
    <t>Final Ranking AP Poll: 3</t>
  </si>
  <si>
    <t>Final Ranking Coaches Poll:3</t>
  </si>
  <si>
    <t>Texas A&amp;M</t>
  </si>
  <si>
    <t>Northern Illinois</t>
  </si>
  <si>
    <t>Miami (OH)</t>
  </si>
  <si>
    <t>Louisville</t>
  </si>
  <si>
    <t>Stanford</t>
  </si>
  <si>
    <t>Navy</t>
  </si>
  <si>
    <t>Florida State</t>
  </si>
  <si>
    <t>Virginia Tech</t>
  </si>
  <si>
    <t>Army</t>
  </si>
  <si>
    <t>Conference: Independent</t>
  </si>
  <si>
    <t>Final Ranking AP Poll: 4</t>
  </si>
  <si>
    <t>Final Ranking Coaches Poll: 4</t>
  </si>
  <si>
    <t>Colorado State</t>
  </si>
  <si>
    <t>UTSA</t>
  </si>
  <si>
    <t>UL Monroe</t>
  </si>
  <si>
    <t>Oklahoma</t>
  </si>
  <si>
    <t>Georgia</t>
  </si>
  <si>
    <t>Vanderbilt</t>
  </si>
  <si>
    <t>Arkansas</t>
  </si>
  <si>
    <t>Final Ranking Coaches Poll: 5</t>
  </si>
  <si>
    <t>Conference: BIG 10</t>
  </si>
  <si>
    <t>BIG 10 Championship</t>
  </si>
  <si>
    <t>Final Ranking AP Poll: 6</t>
  </si>
  <si>
    <t>Final Ranking Coaches Poll: 7</t>
  </si>
  <si>
    <t>Akron</t>
  </si>
  <si>
    <t>Western Michigan</t>
  </si>
  <si>
    <t>Marshall</t>
  </si>
  <si>
    <t>Iowa</t>
  </si>
  <si>
    <t>Nebraska</t>
  </si>
  <si>
    <t>Northwestern</t>
  </si>
  <si>
    <t>Indiana</t>
  </si>
  <si>
    <t>Final Ranking Coaches Poll:6</t>
  </si>
  <si>
    <t>Final Ranking AP Poll: 7</t>
  </si>
  <si>
    <t>Chattanooga</t>
  </si>
  <si>
    <t>NC State</t>
  </si>
  <si>
    <t>UTEP</t>
  </si>
  <si>
    <t>Final Ranking AP Poll: 8</t>
  </si>
  <si>
    <t>Final Ranking Coaches Poll: 8</t>
  </si>
  <si>
    <t>Conference: Mountain West</t>
  </si>
  <si>
    <t>Georgia Southern</t>
  </si>
  <si>
    <t>Portland State</t>
  </si>
  <si>
    <t>Washington State</t>
  </si>
  <si>
    <t>Utah State</t>
  </si>
  <si>
    <t>Hawaii</t>
  </si>
  <si>
    <t>UNLV</t>
  </si>
  <si>
    <t>San Diego State</t>
  </si>
  <si>
    <t>Nevada</t>
  </si>
  <si>
    <t>San Jose State</t>
  </si>
  <si>
    <t>Wyoming</t>
  </si>
  <si>
    <t>Mountain West Championship</t>
  </si>
  <si>
    <t>Florida International</t>
  </si>
  <si>
    <t>Western Illinois</t>
  </si>
  <si>
    <t>Charlotte</t>
  </si>
  <si>
    <t>Final Ranking AP Poll: 9</t>
  </si>
  <si>
    <t>Final Ranking Coaches Poll: 9</t>
  </si>
  <si>
    <t>Final Ranking AP Poll: 10</t>
  </si>
  <si>
    <t>Final Ranking Coaches Poll: 12</t>
  </si>
  <si>
    <t>Conference: BIG 12</t>
  </si>
  <si>
    <t>Texas State</t>
  </si>
  <si>
    <t>Texas Tech</t>
  </si>
  <si>
    <t>Kansas</t>
  </si>
  <si>
    <t>Utah</t>
  </si>
  <si>
    <t>Cincinnati</t>
  </si>
  <si>
    <t>Oklahoma State</t>
  </si>
  <si>
    <t>UCF</t>
  </si>
  <si>
    <t>Kansas State</t>
  </si>
  <si>
    <t>BYU</t>
  </si>
  <si>
    <t>Arizona</t>
  </si>
  <si>
    <t>Iowa State</t>
  </si>
  <si>
    <t>BIG 12 Championship</t>
  </si>
  <si>
    <t>Final Ranking AP Poll: 11</t>
  </si>
  <si>
    <t>Playoffs: NO</t>
  </si>
  <si>
    <t>Final Ranking Coaches Poll: 11</t>
  </si>
  <si>
    <t>Western Kentucky</t>
  </si>
  <si>
    <t>South Florida</t>
  </si>
  <si>
    <t>South Carolina</t>
  </si>
  <si>
    <t>Missouri</t>
  </si>
  <si>
    <t>LSU</t>
  </si>
  <si>
    <t>Mercer</t>
  </si>
  <si>
    <t>Final Ranking AP Poll: 12</t>
  </si>
  <si>
    <t>Conference: ACC</t>
  </si>
  <si>
    <t>Houston Christian</t>
  </si>
  <si>
    <t>TCU</t>
  </si>
  <si>
    <t>Duke</t>
  </si>
  <si>
    <t>Pittsburgh</t>
  </si>
  <si>
    <t>Boston College</t>
  </si>
  <si>
    <t>Virginia</t>
  </si>
  <si>
    <t>California</t>
  </si>
  <si>
    <t>ACC Championship</t>
  </si>
  <si>
    <t>Final Ranking AP Poll: 13</t>
  </si>
  <si>
    <t>Final Ranking Coaches Poll: 13</t>
  </si>
  <si>
    <t>Appalachian State</t>
  </si>
  <si>
    <t>Wake Forest</t>
  </si>
  <si>
    <t>The Citadel</t>
  </si>
  <si>
    <t>SMU</t>
  </si>
  <si>
    <t>Final Ranking AP Poll: 14</t>
  </si>
  <si>
    <t>Final Ranking Coaches Poll: 14</t>
  </si>
  <si>
    <t>Playoffs: No</t>
  </si>
  <si>
    <t>Old Dominion</t>
  </si>
  <si>
    <t>Wofford</t>
  </si>
  <si>
    <t>Final Ranking AP Poll: 15</t>
  </si>
  <si>
    <t>Final Ranking Coaches Poll: 16</t>
  </si>
  <si>
    <t>Florida A&amp;M</t>
  </si>
  <si>
    <t>Ball State</t>
  </si>
  <si>
    <t>Syracuse</t>
  </si>
  <si>
    <t>Final Ranking AP Poll: 16</t>
  </si>
  <si>
    <t>Final Ranking Coaches Poll: 15</t>
  </si>
  <si>
    <t>Furman</t>
  </si>
  <si>
    <t>Middle Tennessee</t>
  </si>
  <si>
    <t>Final Ranking AP Poll: 17</t>
  </si>
  <si>
    <t>Final Ranking Coaches Poll: 17</t>
  </si>
  <si>
    <t>Southern Illinois</t>
  </si>
  <si>
    <t>Baylor</t>
  </si>
  <si>
    <t>Arizona State</t>
  </si>
  <si>
    <t>Houston</t>
  </si>
  <si>
    <t>Final Ranking AP Poll: 18</t>
  </si>
  <si>
    <t>Final Ranking Coaches Poll: 19</t>
  </si>
  <si>
    <t>North Dakota</t>
  </si>
  <si>
    <t>Arkansas State</t>
  </si>
  <si>
    <t>Final Ranking AP Poll: 19</t>
  </si>
  <si>
    <t>Final Ranking Coaches Poll: 18</t>
  </si>
  <si>
    <t>Conference: AAC</t>
  </si>
  <si>
    <t>Lehigh</t>
  </si>
  <si>
    <t>Florida Athletic</t>
  </si>
  <si>
    <t>Rice</t>
  </si>
  <si>
    <t>Temple</t>
  </si>
  <si>
    <t>Tulsa</t>
  </si>
  <si>
    <t>UAB</t>
  </si>
  <si>
    <t>East Carolina</t>
  </si>
  <si>
    <t>Air Force</t>
  </si>
  <si>
    <t>North Texas</t>
  </si>
  <si>
    <t>Notre Dame</t>
  </si>
  <si>
    <t>USTA</t>
  </si>
  <si>
    <t>Tulane</t>
  </si>
  <si>
    <t>North Dakota State</t>
  </si>
  <si>
    <t>Final Ranking AP Poll: 21</t>
  </si>
  <si>
    <t>Final Ranking Coaches Poll: 21</t>
  </si>
  <si>
    <t>Final Ranking AP Poll: 20</t>
  </si>
  <si>
    <t>Final Ranking Coaches Poll: 22</t>
  </si>
  <si>
    <t>Eastern Illinois</t>
  </si>
  <si>
    <t>Central Michigan</t>
  </si>
  <si>
    <t>Rutgers</t>
  </si>
  <si>
    <t>Final Ranking AP Poll: 22</t>
  </si>
  <si>
    <t>Final Ranking Coaches Poll: 25</t>
  </si>
  <si>
    <t>Ohio</t>
  </si>
  <si>
    <t>Holy Cross</t>
  </si>
  <si>
    <t>Uconn</t>
  </si>
  <si>
    <t>Miami</t>
  </si>
  <si>
    <t>Final Ranking AP Poll: 23</t>
  </si>
  <si>
    <t>Final Ranking Coaches Poll: 20</t>
  </si>
  <si>
    <t>Murray State</t>
  </si>
  <si>
    <t>Buffalo</t>
  </si>
  <si>
    <t>Final Ranking AP Poll: 24</t>
  </si>
  <si>
    <t>Final Ranking Coaches Poll: 24</t>
  </si>
  <si>
    <t>Utah Tech</t>
  </si>
  <si>
    <t>Fresno State</t>
  </si>
  <si>
    <t>Final Ranking AP Poll: 25</t>
  </si>
  <si>
    <t>Final Ranking Coaches Poll: 23</t>
  </si>
  <si>
    <t>North Alabama</t>
  </si>
  <si>
    <t>Troy</t>
  </si>
  <si>
    <t>School</t>
  </si>
  <si>
    <t>ASU</t>
  </si>
  <si>
    <t>Colorado</t>
  </si>
  <si>
    <t>Memphis</t>
  </si>
  <si>
    <t>AP</t>
  </si>
  <si>
    <t>Total</t>
  </si>
  <si>
    <t>Weighted Spread</t>
  </si>
  <si>
    <t>STD</t>
  </si>
  <si>
    <t>Final_Score_(PF)</t>
  </si>
  <si>
    <t>Total_O/U</t>
  </si>
  <si>
    <t>Weighted Point Differental Vs. Spread</t>
  </si>
  <si>
    <t>Unweighted Point Differental Vs. Spread</t>
  </si>
  <si>
    <t>Unweighted Team Net O/U</t>
  </si>
  <si>
    <t>Unweighted Point Diff. Vs. Team O/U</t>
  </si>
  <si>
    <t>Unweighted Opponent O/U</t>
  </si>
  <si>
    <t>Unweighted Point Diff. Vs. Opponent O/U</t>
  </si>
  <si>
    <t>Weighted Team Net O/U</t>
  </si>
  <si>
    <t>Weighted Point Diff. Vs. Team O/U</t>
  </si>
  <si>
    <t>Weighted Opponent O/U</t>
  </si>
  <si>
    <t>Weighted Point Diff. Vs. Opponent O/U</t>
  </si>
  <si>
    <t>BIG10 Championship</t>
  </si>
  <si>
    <t xml:space="preserve">Odds:https://fantasydata.com/ncaa-football/odds </t>
  </si>
  <si>
    <t>Final_Score_(PA)</t>
  </si>
  <si>
    <t>Unweighted_Spread</t>
  </si>
  <si>
    <t>Unweighted_Odds</t>
  </si>
  <si>
    <t>Weighted_Spread</t>
  </si>
  <si>
    <t>Unweighted_Point_Differental_Vs._Spread</t>
  </si>
  <si>
    <t>Unweighted_Team_Net_O/U</t>
  </si>
  <si>
    <t>Unweighted_Point_Diff._Vs._Team_O/U</t>
  </si>
  <si>
    <t>Unweighted_Opponent O/U</t>
  </si>
  <si>
    <t>Unweighted_Point_Diff._Vs._Opponent_O/U</t>
  </si>
  <si>
    <t>Weighted_Point_Differental_Vs._Spread</t>
  </si>
  <si>
    <t>Weighted_Team_Net_O/U</t>
  </si>
  <si>
    <t>Weighted_Point_Diff._Vs._Team_O/U</t>
  </si>
  <si>
    <t>Weighted_Opponent_O/U</t>
  </si>
  <si>
    <t>Weighted Point Diff._Vs._Opponent_O/U</t>
  </si>
  <si>
    <t>Playoffs</t>
  </si>
  <si>
    <t>Initial Trends: Oppenent Weighted O/U, Unweighted Spread, Weighted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</si>
</sst>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%"/>
  </numFmts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medium">
        <color indexed="64"/>
      </top>
      <bottom/>
      <diagonal/>
    </border>
    <border>
      <left style="thin">
        <color theme="4"/>
      </left>
      <right style="thin">
        <color theme="4"/>
      </right>
      <top style="medium">
        <color indexed="64"/>
      </top>
      <bottom/>
      <diagonal/>
    </border>
    <border>
      <left style="thin">
        <color theme="4"/>
      </left>
      <right/>
      <top style="medium">
        <color indexed="64"/>
      </top>
      <bottom/>
      <diagonal/>
    </border>
    <border>
      <left style="thin">
        <color theme="4"/>
      </left>
      <right style="thin">
        <color indexed="64"/>
      </right>
      <top style="medium">
        <color indexed="6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60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2" fontId="5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  <xf numFmtId="166" fontId="5" fillId="0" borderId="0" xfId="1" applyNumberFormat="1" applyFont="1"/>
    <xf numFmtId="0" fontId="5" fillId="2" borderId="0" xfId="0" applyFont="1" applyFill="1"/>
    <xf numFmtId="164" fontId="5" fillId="2" borderId="0" xfId="0" applyNumberFormat="1" applyFont="1" applyFill="1"/>
    <xf numFmtId="10" fontId="5" fillId="0" borderId="0" xfId="1" applyNumberFormat="1" applyFont="1"/>
    <xf numFmtId="165" fontId="0" fillId="0" borderId="0" xfId="0" applyNumberFormat="1"/>
    <xf numFmtId="0" fontId="7" fillId="0" borderId="0" xfId="0" applyFont="1"/>
    <xf numFmtId="165" fontId="0" fillId="0" borderId="6" xfId="0" applyNumberFormat="1" applyBorder="1"/>
    <xf numFmtId="0" fontId="0" fillId="0" borderId="4" xfId="0" applyBorder="1"/>
    <xf numFmtId="165" fontId="0" fillId="0" borderId="7" xfId="0" applyNumberFormat="1" applyBorder="1"/>
    <xf numFmtId="165" fontId="0" fillId="0" borderId="4" xfId="0" applyNumberFormat="1" applyBorder="1"/>
    <xf numFmtId="0" fontId="0" fillId="0" borderId="3" xfId="0" applyBorder="1"/>
    <xf numFmtId="165" fontId="0" fillId="0" borderId="8" xfId="0" applyNumberFormat="1" applyBorder="1"/>
    <xf numFmtId="0" fontId="0" fillId="0" borderId="0" xfId="0" applyBorder="1"/>
    <xf numFmtId="165" fontId="0" fillId="0" borderId="0" xfId="0" applyNumberFormat="1" applyBorder="1"/>
    <xf numFmtId="0" fontId="6" fillId="0" borderId="9" xfId="0" applyFont="1" applyBorder="1"/>
    <xf numFmtId="0" fontId="4" fillId="0" borderId="9" xfId="0" applyFont="1" applyBorder="1"/>
    <xf numFmtId="165" fontId="0" fillId="0" borderId="10" xfId="0" applyNumberFormat="1" applyBorder="1"/>
    <xf numFmtId="165" fontId="0" fillId="0" borderId="11" xfId="0" applyNumberFormat="1" applyBorder="1"/>
    <xf numFmtId="0" fontId="6" fillId="0" borderId="13" xfId="0" applyFont="1" applyBorder="1"/>
    <xf numFmtId="0" fontId="4" fillId="0" borderId="13" xfId="0" applyFont="1" applyBorder="1"/>
    <xf numFmtId="0" fontId="0" fillId="0" borderId="12" xfId="0" applyBorder="1"/>
    <xf numFmtId="165" fontId="0" fillId="0" borderId="14" xfId="0" applyNumberFormat="1" applyBorder="1"/>
    <xf numFmtId="165" fontId="0" fillId="0" borderId="12" xfId="0" applyNumberFormat="1" applyBorder="1"/>
    <xf numFmtId="0" fontId="6" fillId="0" borderId="0" xfId="0" applyFont="1"/>
    <xf numFmtId="165" fontId="0" fillId="3" borderId="5" xfId="0" applyNumberFormat="1" applyFont="1" applyFill="1" applyBorder="1"/>
    <xf numFmtId="0" fontId="6" fillId="0" borderId="15" xfId="0" applyFont="1" applyBorder="1"/>
    <xf numFmtId="0" fontId="4" fillId="0" borderId="16" xfId="0" applyFont="1" applyBorder="1"/>
    <xf numFmtId="165" fontId="0" fillId="3" borderId="17" xfId="0" applyNumberFormat="1" applyFont="1" applyFill="1" applyBorder="1"/>
    <xf numFmtId="165" fontId="0" fillId="0" borderId="5" xfId="0" applyNumberFormat="1" applyFont="1" applyFill="1" applyBorder="1"/>
    <xf numFmtId="0" fontId="0" fillId="0" borderId="0" xfId="0" applyFill="1"/>
    <xf numFmtId="0" fontId="0" fillId="3" borderId="18" xfId="0" applyFont="1" applyFill="1" applyBorder="1"/>
    <xf numFmtId="165" fontId="0" fillId="3" borderId="19" xfId="0" applyNumberFormat="1" applyFont="1" applyFill="1" applyBorder="1"/>
    <xf numFmtId="165" fontId="0" fillId="3" borderId="20" xfId="0" applyNumberFormat="1" applyFont="1" applyFill="1" applyBorder="1"/>
    <xf numFmtId="0" fontId="0" fillId="0" borderId="0" xfId="0" applyFont="1" applyBorder="1"/>
    <xf numFmtId="165" fontId="0" fillId="0" borderId="0" xfId="0" applyNumberFormat="1" applyFont="1" applyBorder="1"/>
    <xf numFmtId="0" fontId="0" fillId="3" borderId="0" xfId="0" applyFont="1" applyFill="1" applyBorder="1"/>
    <xf numFmtId="165" fontId="0" fillId="3" borderId="0" xfId="0" applyNumberFormat="1" applyFont="1" applyFill="1" applyBorder="1"/>
    <xf numFmtId="0" fontId="0" fillId="0" borderId="0" xfId="0" applyFont="1" applyFill="1" applyBorder="1"/>
    <xf numFmtId="165" fontId="0" fillId="0" borderId="0" xfId="0" applyNumberFormat="1" applyFont="1" applyFill="1" applyBorder="1"/>
    <xf numFmtId="165" fontId="0" fillId="3" borderId="18" xfId="0" applyNumberFormat="1" applyFont="1" applyFill="1" applyBorder="1"/>
    <xf numFmtId="0" fontId="0" fillId="3" borderId="21" xfId="0" applyFont="1" applyFill="1" applyBorder="1"/>
    <xf numFmtId="0" fontId="0" fillId="0" borderId="2" xfId="0" applyFont="1" applyBorder="1"/>
    <xf numFmtId="0" fontId="0" fillId="3" borderId="2" xfId="0" applyFont="1" applyFill="1" applyBorder="1"/>
    <xf numFmtId="0" fontId="0" fillId="0" borderId="2" xfId="0" applyFont="1" applyFill="1" applyBorder="1"/>
    <xf numFmtId="165" fontId="0" fillId="3" borderId="22" xfId="0" applyNumberFormat="1" applyFont="1" applyFill="1" applyBorder="1"/>
    <xf numFmtId="0" fontId="0" fillId="0" borderId="18" xfId="0" applyFont="1" applyBorder="1"/>
    <xf numFmtId="0" fontId="0" fillId="0" borderId="21" xfId="0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2" xfId="0" applyNumberFormat="1" applyFont="1" applyFill="1" applyBorder="1"/>
    <xf numFmtId="165" fontId="0" fillId="0" borderId="17" xfId="0" applyNumberFormat="1" applyFont="1" applyFill="1" applyBorder="1"/>
  </cellXfs>
  <cellStyles count="3">
    <cellStyle name="Heading 1" xfId="2" builtinId="16" customBuiltin="1"/>
    <cellStyle name="Normal" xfId="0" builtinId="0"/>
    <cellStyle name="Percent" xfId="1" builtinId="5"/>
  </cellStyles>
  <dxfs count="1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medium">
          <color theme="1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bottom style="medium">
          <color rgb="FF156082"/>
        </bottom>
      </border>
    </dxf>
    <dxf>
      <border outline="0"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medium">
          <color theme="1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medium">
          <color theme="1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bottom style="medium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  <border diagonalUp="0" diagonalDown="0">
        <left style="medium">
          <color theme="1"/>
        </left>
        <right/>
        <top/>
        <bottom/>
        <vertical/>
        <horizontal/>
      </border>
    </dxf>
    <dxf>
      <border outline="0">
        <bottom style="medium">
          <color rgb="FF156082"/>
        </bottom>
      </border>
    </dxf>
    <dxf>
      <border outline="0">
        <top style="thin">
          <color rgb="FF15608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65" formatCode="0.000"/>
      <border diagonalUp="0" diagonalDown="0">
        <left style="medium">
          <color theme="1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border outline="0">
        <bottom style="medium">
          <color theme="4"/>
        </bottom>
      </border>
    </dxf>
    <dxf>
      <border outline="0">
        <top style="thin">
          <color theme="4"/>
        </top>
      </border>
    </dxf>
  </dxfs>
  <tableStyles count="0" defaultTableStyle="TableStyleMedium2" defaultPivotStyle="PivotStyleLight16"/>
  <colors>
    <mruColors>
      <color rgb="FFD7A800"/>
      <color rgb="FFFFD441"/>
      <color rgb="FF000000"/>
      <color rgb="FFFED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DE11640-D043-F349-919D-648E6FE3BEA1}" name="Table3437" displayName="Table3437" ref="A1:S26" totalsRowShown="0" headerRowDxfId="22" dataDxfId="21" headerRowBorderDxfId="19" tableBorderDxfId="20">
  <autoFilter ref="A1:S26" xr:uid="{07D770EE-8ACE-DB46-B3A7-DDAD6C83B97B}"/>
  <sortState xmlns:xlrd2="http://schemas.microsoft.com/office/spreadsheetml/2017/richdata2" ref="A2:S26">
    <sortCondition ref="G1:G26"/>
  </sortState>
  <tableColumns count="19">
    <tableColumn id="1" xr3:uid="{035F1047-54A5-4646-B783-DED768FDCAC1}" name="AP" dataDxfId="18"/>
    <tableColumn id="2" xr3:uid="{BF23CB08-742C-1440-A57A-1DFE0EA9B266}" name="School" dataDxfId="17"/>
    <tableColumn id="3" xr3:uid="{26FD3F22-BB41-D84C-AADF-A44F14D07AA6}" name="Final_Score_(PF)" dataDxfId="16"/>
    <tableColumn id="4" xr3:uid="{299A5AA0-2C94-5B49-98B6-B8BC976DF617}" name="Final_Score_(PA)" dataDxfId="15"/>
    <tableColumn id="5" xr3:uid="{3AEF7B9D-EFEB-1641-B91B-B537DB67AF0B}" name="Unweighted_Spread" dataDxfId="14"/>
    <tableColumn id="6" xr3:uid="{0DC504BF-6C96-5444-8E49-C9B634FE4082}" name="Unweighted_Odds" dataDxfId="13"/>
    <tableColumn id="7" xr3:uid="{90E2D935-7193-E54F-9F80-6FFD31709755}" name="Weighted_Spread" dataDxfId="12"/>
    <tableColumn id="8" xr3:uid="{007E25EF-E10A-BD4F-9E8C-AF25FF9E6486}" name="Unweighted_Point_Differental_Vs._Spread" dataDxfId="11"/>
    <tableColumn id="9" xr3:uid="{2E317D53-3A28-7944-BB6B-D6D68F84ABE7}" name="Total_O/U" dataDxfId="10"/>
    <tableColumn id="10" xr3:uid="{BAC90A07-3321-F24B-A619-9760D20572D6}" name="Unweighted_Team_Net_O/U" dataDxfId="9"/>
    <tableColumn id="11" xr3:uid="{CACA534A-5D47-3846-A5C6-0C8B8ECC81BD}" name="Unweighted_Point_Diff._Vs._Team_O/U" dataDxfId="8"/>
    <tableColumn id="12" xr3:uid="{409C52A5-405B-5541-B32D-60C3FF3A622E}" name="Unweighted_Opponent O/U" dataDxfId="7"/>
    <tableColumn id="13" xr3:uid="{AB034F69-941B-A94A-B268-CFB986DCA64B}" name="Unweighted_Point_Diff._Vs._Opponent_O/U" dataDxfId="6"/>
    <tableColumn id="14" xr3:uid="{BC012E62-EA18-8043-A742-68C5F7CFF3AB}" name="Weighted_Point_Differental_Vs._Spread" dataDxfId="5"/>
    <tableColumn id="15" xr3:uid="{7DB2F7F4-C908-EE49-B67F-ABBE9D93E704}" name="Weighted_Team_Net_O/U" dataDxfId="4"/>
    <tableColumn id="16" xr3:uid="{9D0B485F-F259-FF44-A8B6-CC2831AD33E1}" name="Weighted_Point_Diff._Vs._Team_O/U" dataDxfId="3"/>
    <tableColumn id="17" xr3:uid="{86E4F81B-40AD-5149-BD7F-8AC3CEFBEACF}" name="Weighted_Opponent_O/U" dataDxfId="2"/>
    <tableColumn id="18" xr3:uid="{21EE8820-6F77-9C43-881F-B27848C9ABAD}" name="Weighted Point Diff._Vs._Opponent_O/U" dataDxfId="1"/>
    <tableColumn id="19" xr3:uid="{91E68B23-B738-9145-ABA5-3C5EBD8B5F52}" name="Playoffs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AFDBFF8-8718-5E40-80A0-675BA6D3DD61}" name="Table35" displayName="Table35" ref="A1:S26" totalsRowShown="0" headerRowDxfId="25" dataDxfId="26" headerRowBorderDxfId="44" tableBorderDxfId="45">
  <autoFilter ref="A1:S26" xr:uid="{DAFDBFF8-8718-5E40-80A0-675BA6D3DD61}"/>
  <tableColumns count="19">
    <tableColumn id="1" xr3:uid="{474B5653-3489-9749-9152-FBC44ACBE699}" name="AP" dataDxfId="43"/>
    <tableColumn id="2" xr3:uid="{DFE16074-88FB-A74A-ABA5-E931412F9909}" name="School" dataDxfId="24"/>
    <tableColumn id="3" xr3:uid="{592C12F7-513C-0047-A65C-C5F2C8988A11}" name="Final_Score_(PF)" dataDxfId="42"/>
    <tableColumn id="4" xr3:uid="{C8D611F2-BAAA-F147-B594-9A20FE7C5C7E}" name="Final_Score_(PA)" dataDxfId="41"/>
    <tableColumn id="5" xr3:uid="{24CF35DB-B50D-5740-8309-683A73A056B9}" name="Unweighted_Spread" dataDxfId="40"/>
    <tableColumn id="6" xr3:uid="{742264DC-0112-9548-8321-7E5D1E0FC4F6}" name="Unweighted_Odds" dataDxfId="39"/>
    <tableColumn id="7" xr3:uid="{DE5C0CD9-4184-3241-8B8F-C8D21A22F83E}" name="Weighted_Spread" dataDxfId="38"/>
    <tableColumn id="8" xr3:uid="{0B21143F-1349-5A40-81E8-F5AF2E36576B}" name="Unweighted_Point_Differental_Vs._Spread" dataDxfId="37"/>
    <tableColumn id="9" xr3:uid="{14293883-C79D-9241-9B56-BBEC0F6BFAF4}" name="Total_O/U" dataDxfId="36"/>
    <tableColumn id="10" xr3:uid="{C0A8E089-3442-5C45-BFE2-D368155FC1B3}" name="Unweighted_Team_Net_O/U" dataDxfId="35"/>
    <tableColumn id="11" xr3:uid="{379C53E2-5A02-4A4C-9AE2-C9ACCF62A8E0}" name="Unweighted_Point_Diff._Vs._Team_O/U" dataDxfId="34"/>
    <tableColumn id="12" xr3:uid="{466D8FB5-92E7-364F-8CA9-D64B650837A6}" name="Unweighted_Opponent O/U" dataDxfId="33"/>
    <tableColumn id="13" xr3:uid="{66C8BA7E-BEAB-3345-AACB-5B3ECA34B3F4}" name="Unweighted_Point_Diff._Vs._Opponent_O/U" dataDxfId="32"/>
    <tableColumn id="14" xr3:uid="{C8EBD35C-8D0D-0546-8B6C-315F887CC9E8}" name="Weighted_Point_Differental_Vs._Spread" dataDxfId="31"/>
    <tableColumn id="15" xr3:uid="{7915C959-21F4-E54B-B1DD-D241D98A3A54}" name="Weighted_Team_Net_O/U" dataDxfId="30"/>
    <tableColumn id="16" xr3:uid="{17324F1B-2151-F343-A5EC-4EE57804B028}" name="Weighted_Point_Diff._Vs._Team_O/U" dataDxfId="29"/>
    <tableColumn id="17" xr3:uid="{84F2AC34-C257-4C4D-A26E-2C73E409EAA1}" name="Weighted_Opponent_O/U" dataDxfId="28"/>
    <tableColumn id="18" xr3:uid="{4A017F4A-D4AB-0F4D-80F6-F06B310E9CF8}" name="Weighted Point Diff._Vs._Opponent_O/U" dataDxfId="27"/>
    <tableColumn id="19" xr3:uid="{EC6340CE-A222-F848-91D8-50955D9ABCC8}" name="Playoffs" dataDxfId="23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D770EE-8ACE-DB46-B3A7-DDAD6C83B97B}" name="Table34" displayName="Table34" ref="A1:S26" totalsRowShown="0" headerRowDxfId="48" dataDxfId="49" headerRowBorderDxfId="67" tableBorderDxfId="68">
  <autoFilter ref="A1:S26" xr:uid="{07D770EE-8ACE-DB46-B3A7-DDAD6C83B97B}"/>
  <tableColumns count="19">
    <tableColumn id="1" xr3:uid="{B9BA81DB-F982-1249-8C3B-2861921C82E9}" name="AP" dataDxfId="66"/>
    <tableColumn id="2" xr3:uid="{BDBF2B98-6AB6-0042-990E-49A66FF29819}" name="School" dataDxfId="47"/>
    <tableColumn id="3" xr3:uid="{F465EB76-0B2D-AB4B-A7F6-4F46F9DCD14D}" name="Final_Score_(PF)" dataDxfId="65"/>
    <tableColumn id="4" xr3:uid="{12093534-BD88-C54C-A950-CB3A8236DA63}" name="Final_Score_(PA)" dataDxfId="64"/>
    <tableColumn id="5" xr3:uid="{B839303D-1BF1-3D43-BDD8-62D6D05A582C}" name="Unweighted_Spread" dataDxfId="63"/>
    <tableColumn id="6" xr3:uid="{833C109E-1D7E-FF40-B996-DE183CEDC459}" name="Unweighted_Odds" dataDxfId="62"/>
    <tableColumn id="7" xr3:uid="{484DDD98-08FF-C249-BAD1-4FD9769C433A}" name="Weighted_Spread" dataDxfId="61"/>
    <tableColumn id="8" xr3:uid="{8E26D2AA-D6A9-9F49-B69B-47671DCB6EA4}" name="Unweighted_Point_Differental_Vs._Spread" dataDxfId="60"/>
    <tableColumn id="9" xr3:uid="{91BF5215-4FF9-1F48-8BCE-DF294144950E}" name="Total_O/U" dataDxfId="59"/>
    <tableColumn id="10" xr3:uid="{670EB5F7-A371-A846-8C2C-38EC0E1BCD17}" name="Unweighted_Team_Net_O/U" dataDxfId="58"/>
    <tableColumn id="11" xr3:uid="{1933F7CE-9189-0944-90AC-6A5FAD3290F1}" name="Unweighted_Point_Diff._Vs._Team_O/U" dataDxfId="57"/>
    <tableColumn id="12" xr3:uid="{13FBE7DD-F258-4E4A-9C30-10FFAC638A69}" name="Unweighted_Opponent O/U" dataDxfId="56"/>
    <tableColumn id="13" xr3:uid="{8C6C0B64-03CB-3E45-AAC7-5DABC58389A2}" name="Unweighted_Point_Diff._Vs._Opponent_O/U" dataDxfId="55"/>
    <tableColumn id="14" xr3:uid="{908381FD-C613-A544-856D-C1565F9471EB}" name="Weighted_Point_Differental_Vs._Spread" dataDxfId="54"/>
    <tableColumn id="15" xr3:uid="{948FEEAE-67CC-DB47-85FE-1298125E5787}" name="Weighted_Team_Net_O/U" dataDxfId="53"/>
    <tableColumn id="16" xr3:uid="{575F6CF4-E06E-7B42-8F36-D103F2E48455}" name="Weighted_Point_Diff._Vs._Team_O/U" dataDxfId="52"/>
    <tableColumn id="17" xr3:uid="{3F2F3F5E-E2A6-F34B-A402-5D4692916030}" name="Weighted_Opponent_O/U" dataDxfId="51"/>
    <tableColumn id="18" xr3:uid="{5F2F2B43-3464-D246-B7E8-E33D8B65A70D}" name="Weighted Point Diff._Vs._Opponent_O/U" dataDxfId="50"/>
    <tableColumn id="19" xr3:uid="{C8BE507B-37F5-9448-84DB-8651B0C2709E}" name="Playoffs" dataDxfId="46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36E42A7-2736-774A-AF19-23E20C2F446A}" name="Table30" displayName="Table30" ref="A1:R16" totalsRowShown="0" headerRowDxfId="85">
  <autoFilter ref="A1:R16" xr:uid="{636E42A7-2736-774A-AF19-23E20C2F446A}"/>
  <tableColumns count="18">
    <tableColumn id="1" xr3:uid="{11E917BE-EF88-E04C-816D-4A41A7A8DC06}" name="AP"/>
    <tableColumn id="2" xr3:uid="{23434E5F-CFAB-0541-A040-9C2387DF37FC}" name="School"/>
    <tableColumn id="3" xr3:uid="{EBEC71FF-67E9-194A-8183-153036C2FAC0}" name="Final_Score_(PF)" dataDxfId="84"/>
    <tableColumn id="4" xr3:uid="{D1173F72-AA18-1D4B-9ACB-C219AB3BB0B8}" name="Final_Score_(PA)" dataDxfId="83"/>
    <tableColumn id="5" xr3:uid="{138C6C89-C4E8-EC48-8A81-08C6662C2BC4}" name="Unweighted_Spread" dataDxfId="82"/>
    <tableColumn id="6" xr3:uid="{46ED0FB0-2741-6E4D-B643-15413D0C2D27}" name="Unweighted_Odds" dataDxfId="81"/>
    <tableColumn id="7" xr3:uid="{6D4ADAD5-7BC2-C74C-9459-9231AB9AE174}" name="Weighted_Spread" dataDxfId="80"/>
    <tableColumn id="8" xr3:uid="{A248F9A1-5065-C24A-91F2-F680FA1DDEC7}" name="Unweighted_Point_Differental_Vs._Spread" dataDxfId="79"/>
    <tableColumn id="9" xr3:uid="{44771ED7-626C-CB40-9A28-5528C8ADF855}" name="Total_O/U" dataDxfId="78"/>
    <tableColumn id="10" xr3:uid="{AD13B4D3-280E-2646-9F96-46EE300B28CB}" name="Unweighted_Team_Net_O/U" dataDxfId="77"/>
    <tableColumn id="11" xr3:uid="{618D5095-305D-D34C-B437-E6CDC85504B4}" name="Unweighted_Point_Diff._Vs._Team_O/U" dataDxfId="76"/>
    <tableColumn id="12" xr3:uid="{0F3BD3EF-1A52-A148-A64E-647908A5F7F1}" name="Unweighted_Opponent O/U" dataDxfId="75"/>
    <tableColumn id="13" xr3:uid="{5410AAE9-C223-2449-B4DA-916C576D83DD}" name="Unweighted_Point_Diff._Vs._Opponent_O/U" dataDxfId="74"/>
    <tableColumn id="14" xr3:uid="{77DB19C0-3544-4648-8134-72A4D861663D}" name="Weighted_Point_Differental_Vs._Spread" dataDxfId="73"/>
    <tableColumn id="15" xr3:uid="{FF64C2F3-19B0-2F42-B4ED-12A4F0B094C2}" name="Weighted_Team_Net_O/U" dataDxfId="72"/>
    <tableColumn id="16" xr3:uid="{A0DC2079-4E9C-2E44-8D3E-90DFF15CAC0F}" name="Weighted_Point_Diff._Vs._Team_O/U" dataDxfId="71"/>
    <tableColumn id="17" xr3:uid="{6695198A-1CA5-984D-9CD9-C48A73133B5B}" name="Weighted_Opponent_O/U" dataDxfId="70"/>
    <tableColumn id="18" xr3:uid="{AB6D2907-D226-854D-9A00-90AEC0664C3B}" name="Weighted Point Diff._Vs._Opponent_O/U" dataDxfId="69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04524AE-D5DC-1B40-9F2A-490ED447CCB2}" name="Table31" displayName="Table31" ref="A1:R17" totalsRowShown="0" headerRowDxfId="123" headerRowBorderDxfId="139" tableBorderDxfId="140">
  <autoFilter ref="A1:R17" xr:uid="{B04524AE-D5DC-1B40-9F2A-490ED447CCB2}"/>
  <tableColumns count="18">
    <tableColumn id="1" xr3:uid="{2B93339B-67F1-4649-8F25-6D89DAE7FDB7}" name="AP"/>
    <tableColumn id="2" xr3:uid="{CE7722BC-575C-A34E-B797-AA9FE4FBC883}" name="School"/>
    <tableColumn id="3" xr3:uid="{1748B518-1045-5A45-B355-FDB7D68BCEA3}" name="Final_Score_(PF)" dataDxfId="122"/>
    <tableColumn id="4" xr3:uid="{0036F467-B0CA-CF43-AE21-D3858466E471}" name="Final_Score_(PA)" dataDxfId="138"/>
    <tableColumn id="5" xr3:uid="{E819603F-F807-434E-B798-37AFFA329419}" name="Unweighted_Spread" dataDxfId="137"/>
    <tableColumn id="6" xr3:uid="{D83857D4-C5F7-604B-8968-8A6FD242A425}" name="Unweighted_Odds" dataDxfId="136"/>
    <tableColumn id="7" xr3:uid="{F2D6A59D-B0B7-EC45-8440-85949F11C18E}" name="Weighted_Spread" dataDxfId="135"/>
    <tableColumn id="8" xr3:uid="{7E0E3982-0091-E748-9B57-DCEA6566B012}" name="Unweighted_Point_Differental_Vs._Spread" dataDxfId="134"/>
    <tableColumn id="9" xr3:uid="{386B64C8-D552-8446-84E5-ED37D91F89F1}" name="Total_O/U" dataDxfId="133"/>
    <tableColumn id="10" xr3:uid="{C32428E0-D7DC-CE47-8706-CC007AFAAD4D}" name="Unweighted_Team_Net_O/U" dataDxfId="132"/>
    <tableColumn id="11" xr3:uid="{8BE334AE-ED7F-1044-91AA-3A554558B067}" name="Unweighted_Point_Diff._Vs._Team_O/U" dataDxfId="131"/>
    <tableColumn id="12" xr3:uid="{150C6E55-2392-A14D-8F77-28AAA04BEC89}" name="Unweighted_Opponent O/U" dataDxfId="130"/>
    <tableColumn id="13" xr3:uid="{1E545302-18AB-7945-9F2E-7C5A0D8C1D72}" name="Unweighted_Point_Diff._Vs._Opponent_O/U" dataDxfId="129"/>
    <tableColumn id="14" xr3:uid="{9B29C245-F643-6344-9D1E-0AA59E968B49}" name="Weighted_Point_Differental_Vs._Spread" dataDxfId="128"/>
    <tableColumn id="15" xr3:uid="{2624ECA3-A5EA-424A-A36F-6616F7BEED6E}" name="Weighted_Team_Net_O/U" dataDxfId="127"/>
    <tableColumn id="16" xr3:uid="{7C026CF2-0031-3245-85A9-B19355DC28F7}" name="Weighted_Point_Diff._Vs._Team_O/U" dataDxfId="126"/>
    <tableColumn id="17" xr3:uid="{7D87142B-EF97-214A-BC7A-5DBAE1F16E05}" name="Weighted_Opponent_O/U" dataDxfId="125"/>
    <tableColumn id="18" xr3:uid="{F60E6339-DE8C-924C-B765-7BE5A8B8C858}" name="Weighted Point Diff._Vs._Opponent_O/U" dataDxfId="124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1705A93-4DA2-744F-881B-9E4E39D85066}" name="Table3033" displayName="Table3033" ref="A1:R16" totalsRowShown="0" headerRowDxfId="121">
  <autoFilter ref="A1:R16" xr:uid="{636E42A7-2736-774A-AF19-23E20C2F446A}"/>
  <tableColumns count="18">
    <tableColumn id="1" xr3:uid="{33F085C4-291C-ED4E-BBC3-D5750306DD89}" name="AP"/>
    <tableColumn id="2" xr3:uid="{3C41441A-FB0C-804B-93D3-247DC728FE6A}" name="School"/>
    <tableColumn id="3" xr3:uid="{2692AC53-2026-434B-A4DB-8E83CA7CE1D6}" name="Final_Score_(PF)" dataDxfId="120"/>
    <tableColumn id="4" xr3:uid="{59597863-F2C1-8540-9147-73435B1FCD3A}" name="Final_Score_(PA)" dataDxfId="119"/>
    <tableColumn id="5" xr3:uid="{B9ADD9F3-341A-2C4E-B970-28AFDEE0D0FD}" name="Unweighted_Spread" dataDxfId="118"/>
    <tableColumn id="6" xr3:uid="{1007BB0E-3104-AE4F-9F1D-CF5CEFC1917B}" name="Unweighted_Odds" dataDxfId="117"/>
    <tableColumn id="7" xr3:uid="{374A45B7-F782-FC40-B3B2-BEABD8EE8A9F}" name="Weighted_Spread" dataDxfId="116"/>
    <tableColumn id="8" xr3:uid="{D717F9B6-2539-D04D-BE1C-9E61D28B3D65}" name="Unweighted_Point_Differental_Vs._Spread" dataDxfId="115"/>
    <tableColumn id="9" xr3:uid="{5B569406-A7CB-1147-A1BE-4F7950D541D9}" name="Total_O/U" dataDxfId="114"/>
    <tableColumn id="10" xr3:uid="{FD8A439C-92AE-1845-BFA2-0E80E20C7FF1}" name="Unweighted_Team_Net_O/U" dataDxfId="113"/>
    <tableColumn id="11" xr3:uid="{82C0C5EF-50BE-9D4C-86A0-0A28239C8E17}" name="Unweighted_Point_Diff._Vs._Team_O/U" dataDxfId="112"/>
    <tableColumn id="12" xr3:uid="{AE692EAA-2285-9242-B6F5-BDD6E600C34C}" name="Unweighted_Opponent O/U" dataDxfId="111"/>
    <tableColumn id="13" xr3:uid="{D93BC841-43DA-744B-9309-FB2AA5EC4C51}" name="Unweighted_Point_Diff._Vs._Opponent_O/U" dataDxfId="110"/>
    <tableColumn id="14" xr3:uid="{A52334E4-FC2E-3B48-830E-CAC7D25019B2}" name="Weighted_Point_Differental_Vs._Spread" dataDxfId="109"/>
    <tableColumn id="15" xr3:uid="{3702DC5B-8E87-6045-BF28-6DAEE911FC88}" name="Weighted_Team_Net_O/U" dataDxfId="108"/>
    <tableColumn id="16" xr3:uid="{FF2EB968-8A34-AA48-A6DB-AF5B6AA321C7}" name="Weighted_Point_Diff._Vs._Team_O/U" dataDxfId="107"/>
    <tableColumn id="17" xr3:uid="{E2AF513E-0605-2247-94FC-BE214348C608}" name="Weighted_Opponent_O/U" dataDxfId="106"/>
    <tableColumn id="18" xr3:uid="{B13FF708-FB19-D745-AFE1-3E0D2A73D814}" name="Weighted Point Diff._Vs._Opponent_O/U" dataDxfId="105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AE37893-D9A7-0941-AD85-72EC03DB7B4C}" name="Table3134" displayName="Table3134" ref="A1:R17" totalsRowShown="0" headerRowDxfId="104" headerRowBorderDxfId="102" tableBorderDxfId="103">
  <autoFilter ref="A1:R17" xr:uid="{B04524AE-D5DC-1B40-9F2A-490ED447CCB2}"/>
  <tableColumns count="18">
    <tableColumn id="1" xr3:uid="{2FEED6A0-CF4B-7B45-8136-9F2E56423A5D}" name="AP"/>
    <tableColumn id="2" xr3:uid="{101F6BE0-FE14-7740-A019-8F69939DC28F}" name="School"/>
    <tableColumn id="3" xr3:uid="{CCD8884C-3D7C-1441-AD4F-953901622AC6}" name="Final_Score_(PF)" dataDxfId="101"/>
    <tableColumn id="4" xr3:uid="{4E167B93-EA2E-A242-AA65-206F67DB22EC}" name="Final_Score_(PA)" dataDxfId="100"/>
    <tableColumn id="5" xr3:uid="{01907806-7691-AE44-B365-C3757CA16CDE}" name="Unweighted_Spread" dataDxfId="99"/>
    <tableColumn id="6" xr3:uid="{712E84F8-3C60-6E46-BF82-D042624BE0D7}" name="Unweighted_Odds" dataDxfId="98"/>
    <tableColumn id="7" xr3:uid="{9A1156A4-EF66-8448-AB78-0372483B1951}" name="Weighted_Spread" dataDxfId="97"/>
    <tableColumn id="8" xr3:uid="{0B1668B8-F227-0646-939E-63AC00F7EC52}" name="Unweighted_Point_Differental_Vs._Spread" dataDxfId="96"/>
    <tableColumn id="9" xr3:uid="{D6352223-D600-FD44-B33C-CFC4298350A4}" name="Total_O/U" dataDxfId="95"/>
    <tableColumn id="10" xr3:uid="{CAECEAE3-D2C8-9E43-95B6-BAA1573E47C7}" name="Unweighted_Team_Net_O/U" dataDxfId="94"/>
    <tableColumn id="11" xr3:uid="{42C9A55E-5FCD-524A-895C-D8F873F79643}" name="Unweighted_Point_Diff._Vs._Team_O/U" dataDxfId="93"/>
    <tableColumn id="12" xr3:uid="{3A266BFC-72DD-3646-987F-5DF72EF5F459}" name="Unweighted_Opponent O/U" dataDxfId="92"/>
    <tableColumn id="13" xr3:uid="{A78C6842-8384-6945-B11D-3FC4CB1D91D4}" name="Unweighted_Point_Diff._Vs._Opponent_O/U" dataDxfId="91"/>
    <tableColumn id="14" xr3:uid="{51528C54-59C5-DA4B-8436-A0CBDCC40508}" name="Weighted_Point_Differental_Vs._Spread" dataDxfId="90"/>
    <tableColumn id="15" xr3:uid="{F6005828-2E18-9947-ACCC-79ACE3E9BA1E}" name="Weighted_Team_Net_O/U" dataDxfId="89"/>
    <tableColumn id="16" xr3:uid="{9B038991-80D4-724B-929B-55648B23B017}" name="Weighted_Point_Diff._Vs._Team_O/U" dataDxfId="88"/>
    <tableColumn id="17" xr3:uid="{947B0671-E045-DF4D-B157-16F952285F75}" name="Weighted_Opponent_O/U" dataDxfId="87"/>
    <tableColumn id="18" xr3:uid="{EA4FC3C6-DDFB-E444-96A6-4DFA8E65A8A2}" name="Weighted Point Diff._Vs._Opponent_O/U" dataDxfId="8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D6F7-7FAE-794F-8BAA-C54AC6D6817A}">
  <dimension ref="A1:T46"/>
  <sheetViews>
    <sheetView showFormulas="1" zoomScale="62" zoomScaleNormal="100" workbookViewId="0">
      <selection activeCell="A34" sqref="A34"/>
    </sheetView>
  </sheetViews>
  <sheetFormatPr baseColWidth="10" defaultColWidth="9.83203125" defaultRowHeight="15" x14ac:dyDescent="0.2"/>
  <cols>
    <col min="1" max="1" width="9.6640625" style="2" bestFit="1" customWidth="1"/>
    <col min="2" max="2" width="12" style="2" bestFit="1" customWidth="1"/>
    <col min="3" max="3" width="8.1640625" style="2" customWidth="1"/>
    <col min="4" max="4" width="8.1640625" style="2" bestFit="1" customWidth="1"/>
    <col min="5" max="5" width="8.6640625" style="2" bestFit="1" customWidth="1"/>
    <col min="6" max="7" width="8.1640625" style="2" bestFit="1" customWidth="1"/>
    <col min="8" max="8" width="17.5" style="2" bestFit="1" customWidth="1"/>
    <col min="9" max="9" width="7.6640625" style="2" bestFit="1" customWidth="1"/>
    <col min="10" max="10" width="12.1640625" style="2" bestFit="1" customWidth="1"/>
    <col min="11" max="11" width="16.33203125" style="2" bestFit="1" customWidth="1"/>
    <col min="12" max="12" width="12.5" style="2" bestFit="1" customWidth="1"/>
    <col min="13" max="13" width="18.5" style="2" bestFit="1" customWidth="1"/>
    <col min="14" max="18" width="18.5" style="2" customWidth="1"/>
    <col min="19" max="19" width="9.5" style="2" bestFit="1" customWidth="1"/>
    <col min="20" max="20" width="23.1640625" style="2" bestFit="1" customWidth="1"/>
    <col min="21" max="16384" width="9.83203125" style="2"/>
  </cols>
  <sheetData>
    <row r="1" spans="1:20" x14ac:dyDescent="0.2">
      <c r="A1" s="1" t="s">
        <v>27</v>
      </c>
      <c r="B1" s="1" t="s">
        <v>1</v>
      </c>
      <c r="C1" s="1" t="s">
        <v>28</v>
      </c>
      <c r="D1" s="1" t="s">
        <v>29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E4" s="3"/>
      <c r="G4" s="4">
        <f>E4*(F4/-105)</f>
        <v>0</v>
      </c>
      <c r="H4" s="4">
        <f>(C4-D4) + E4</f>
        <v>0</v>
      </c>
      <c r="I4" s="3"/>
      <c r="J4" s="4">
        <f>I4/2 - E4/2</f>
        <v>0</v>
      </c>
      <c r="K4" s="4">
        <f>C4-J4</f>
        <v>0</v>
      </c>
      <c r="L4" s="4">
        <f>I4/2 + E4/2</f>
        <v>0</v>
      </c>
      <c r="M4" s="4">
        <f>D4-L4</f>
        <v>0</v>
      </c>
      <c r="N4" s="4">
        <f>(C4-D4) + G4</f>
        <v>0</v>
      </c>
      <c r="O4" s="4">
        <f>I4/2 - G4/2</f>
        <v>0</v>
      </c>
      <c r="P4" s="4">
        <f>C4-O4</f>
        <v>0</v>
      </c>
      <c r="Q4" s="4">
        <f>I4/2 + G4/2</f>
        <v>0</v>
      </c>
      <c r="R4" s="4">
        <f>D4-Q4</f>
        <v>0</v>
      </c>
      <c r="T4" s="11">
        <f t="shared" ref="T4:T16" si="0">IF(S4&gt;0,100/(100+S4),ABS(S4)/(100+ABS(S4)))</f>
        <v>0</v>
      </c>
    </row>
    <row r="5" spans="1:20" x14ac:dyDescent="0.2">
      <c r="A5" s="2">
        <v>2</v>
      </c>
      <c r="E5" s="3"/>
      <c r="G5" s="4">
        <f t="shared" ref="G5:G16" si="1">E5*(F5/-105)</f>
        <v>0</v>
      </c>
      <c r="H5" s="4">
        <f>(C5-D5) + E5</f>
        <v>0</v>
      </c>
      <c r="I5" s="3"/>
      <c r="J5" s="4">
        <f>I5/2 - E5/2</f>
        <v>0</v>
      </c>
      <c r="K5" s="4">
        <f>C5-J5</f>
        <v>0</v>
      </c>
      <c r="L5" s="4">
        <f>I5/2 + E5/2</f>
        <v>0</v>
      </c>
      <c r="M5" s="4">
        <f>D5-L5</f>
        <v>0</v>
      </c>
      <c r="N5" s="4">
        <f t="shared" ref="N5:N16" si="2">(C5-D5) + G5</f>
        <v>0</v>
      </c>
      <c r="O5" s="4">
        <f t="shared" ref="O5:O16" si="3">I5/2 - G5/2</f>
        <v>0</v>
      </c>
      <c r="P5" s="4">
        <f t="shared" ref="P5:P16" si="4">C5-O5</f>
        <v>0</v>
      </c>
      <c r="Q5" s="4">
        <f t="shared" ref="Q5:Q16" si="5">I5/2 + G5/2</f>
        <v>0</v>
      </c>
      <c r="R5" s="4">
        <f t="shared" ref="R5:R16" si="6">D5-Q5</f>
        <v>0</v>
      </c>
      <c r="T5" s="11">
        <f t="shared" si="0"/>
        <v>0</v>
      </c>
    </row>
    <row r="6" spans="1:20" x14ac:dyDescent="0.2">
      <c r="A6" s="2">
        <v>3</v>
      </c>
      <c r="E6" s="3"/>
      <c r="G6" s="4">
        <f t="shared" si="1"/>
        <v>0</v>
      </c>
      <c r="H6" s="4">
        <f>(C6-D6) + E6</f>
        <v>0</v>
      </c>
      <c r="I6" s="3"/>
      <c r="J6" s="4">
        <f>I6/2 - E6/2</f>
        <v>0</v>
      </c>
      <c r="K6" s="4">
        <f>C6-J6</f>
        <v>0</v>
      </c>
      <c r="L6" s="4">
        <f>I6/2 + E6/2</f>
        <v>0</v>
      </c>
      <c r="M6" s="4">
        <f>D6-L6</f>
        <v>0</v>
      </c>
      <c r="N6" s="4">
        <f t="shared" si="2"/>
        <v>0</v>
      </c>
      <c r="O6" s="4">
        <f t="shared" si="3"/>
        <v>0</v>
      </c>
      <c r="P6" s="4">
        <f t="shared" si="4"/>
        <v>0</v>
      </c>
      <c r="Q6" s="4">
        <f t="shared" si="5"/>
        <v>0</v>
      </c>
      <c r="R6" s="4">
        <f t="shared" si="6"/>
        <v>0</v>
      </c>
      <c r="T6" s="11">
        <f t="shared" si="0"/>
        <v>0</v>
      </c>
    </row>
    <row r="7" spans="1:20" x14ac:dyDescent="0.2">
      <c r="A7" s="2">
        <v>4</v>
      </c>
      <c r="E7" s="3"/>
      <c r="G7" s="4">
        <f t="shared" si="1"/>
        <v>0</v>
      </c>
      <c r="H7" s="4">
        <f>(C7-D7) + E7</f>
        <v>0</v>
      </c>
      <c r="I7" s="3"/>
      <c r="J7" s="4">
        <f>I7/2 - E7/2</f>
        <v>0</v>
      </c>
      <c r="K7" s="4">
        <f>C7-J7</f>
        <v>0</v>
      </c>
      <c r="L7" s="4">
        <f>I7/2 + E7/2</f>
        <v>0</v>
      </c>
      <c r="M7" s="4">
        <f>D7-L7</f>
        <v>0</v>
      </c>
      <c r="N7" s="4">
        <f t="shared" si="2"/>
        <v>0</v>
      </c>
      <c r="O7" s="4">
        <f t="shared" si="3"/>
        <v>0</v>
      </c>
      <c r="P7" s="4">
        <f t="shared" si="4"/>
        <v>0</v>
      </c>
      <c r="Q7" s="4">
        <f t="shared" si="5"/>
        <v>0</v>
      </c>
      <c r="R7" s="4">
        <f t="shared" si="6"/>
        <v>0</v>
      </c>
      <c r="T7" s="11">
        <f t="shared" si="0"/>
        <v>0</v>
      </c>
    </row>
    <row r="8" spans="1:20" x14ac:dyDescent="0.2">
      <c r="A8" s="2">
        <v>5</v>
      </c>
      <c r="E8" s="3"/>
      <c r="G8" s="4">
        <f t="shared" si="1"/>
        <v>0</v>
      </c>
      <c r="H8" s="4">
        <f>(C8-D8) + E8</f>
        <v>0</v>
      </c>
      <c r="I8" s="3"/>
      <c r="J8" s="4">
        <f>I8/2 - E8/2</f>
        <v>0</v>
      </c>
      <c r="K8" s="4">
        <f>C8-J8</f>
        <v>0</v>
      </c>
      <c r="L8" s="4">
        <f>I8/2 + E8/2</f>
        <v>0</v>
      </c>
      <c r="M8" s="4">
        <f>D8-L8</f>
        <v>0</v>
      </c>
      <c r="N8" s="4">
        <f t="shared" si="2"/>
        <v>0</v>
      </c>
      <c r="O8" s="4">
        <f t="shared" si="3"/>
        <v>0</v>
      </c>
      <c r="P8" s="4">
        <f t="shared" si="4"/>
        <v>0</v>
      </c>
      <c r="Q8" s="4">
        <f t="shared" si="5"/>
        <v>0</v>
      </c>
      <c r="R8" s="4">
        <f t="shared" si="6"/>
        <v>0</v>
      </c>
      <c r="T8" s="11">
        <f t="shared" si="0"/>
        <v>0</v>
      </c>
    </row>
    <row r="9" spans="1:20" x14ac:dyDescent="0.2">
      <c r="A9" s="2">
        <v>6</v>
      </c>
      <c r="E9" s="3"/>
      <c r="G9" s="4">
        <f t="shared" si="1"/>
        <v>0</v>
      </c>
      <c r="H9" s="4">
        <f>(C9-D9) + E9</f>
        <v>0</v>
      </c>
      <c r="I9" s="3"/>
      <c r="J9" s="4">
        <f>I9/2 - E9/2</f>
        <v>0</v>
      </c>
      <c r="K9" s="4">
        <f>C9-J9</f>
        <v>0</v>
      </c>
      <c r="L9" s="4">
        <f>I9/2 + E9/2</f>
        <v>0</v>
      </c>
      <c r="M9" s="4">
        <f>D9-L9</f>
        <v>0</v>
      </c>
      <c r="N9" s="4">
        <f t="shared" si="2"/>
        <v>0</v>
      </c>
      <c r="O9" s="4">
        <f t="shared" si="3"/>
        <v>0</v>
      </c>
      <c r="P9" s="4">
        <f t="shared" si="4"/>
        <v>0</v>
      </c>
      <c r="Q9" s="4">
        <f t="shared" si="5"/>
        <v>0</v>
      </c>
      <c r="R9" s="4">
        <f t="shared" si="6"/>
        <v>0</v>
      </c>
      <c r="T9" s="11">
        <f t="shared" si="0"/>
        <v>0</v>
      </c>
    </row>
    <row r="10" spans="1:20" x14ac:dyDescent="0.2">
      <c r="A10" s="2">
        <v>7</v>
      </c>
      <c r="E10" s="3"/>
      <c r="G10" s="4">
        <f t="shared" si="1"/>
        <v>0</v>
      </c>
      <c r="H10" s="4">
        <f>(C10-D10) + E10</f>
        <v>0</v>
      </c>
      <c r="I10" s="3"/>
      <c r="J10" s="4">
        <f>I10/2 - E10/2</f>
        <v>0</v>
      </c>
      <c r="K10" s="4">
        <f>C10-J10</f>
        <v>0</v>
      </c>
      <c r="L10" s="4">
        <f>I10/2 + E10/2</f>
        <v>0</v>
      </c>
      <c r="M10" s="4">
        <f>D10-L10</f>
        <v>0</v>
      </c>
      <c r="N10" s="4">
        <f t="shared" si="2"/>
        <v>0</v>
      </c>
      <c r="O10" s="4">
        <f t="shared" si="3"/>
        <v>0</v>
      </c>
      <c r="P10" s="4">
        <f t="shared" si="4"/>
        <v>0</v>
      </c>
      <c r="Q10" s="4">
        <f t="shared" si="5"/>
        <v>0</v>
      </c>
      <c r="R10" s="4">
        <f t="shared" si="6"/>
        <v>0</v>
      </c>
      <c r="T10" s="11">
        <f t="shared" si="0"/>
        <v>0</v>
      </c>
    </row>
    <row r="11" spans="1:20" x14ac:dyDescent="0.2">
      <c r="A11" s="2">
        <v>8</v>
      </c>
      <c r="E11" s="3"/>
      <c r="G11" s="4">
        <f t="shared" si="1"/>
        <v>0</v>
      </c>
      <c r="H11" s="4">
        <f>(C11-D11) + E11</f>
        <v>0</v>
      </c>
      <c r="I11" s="3"/>
      <c r="J11" s="4">
        <f>I11/2 - E11/2</f>
        <v>0</v>
      </c>
      <c r="K11" s="4">
        <f>C11-J11</f>
        <v>0</v>
      </c>
      <c r="L11" s="4">
        <f>I11/2 + E11/2</f>
        <v>0</v>
      </c>
      <c r="M11" s="4">
        <f>D11-L11</f>
        <v>0</v>
      </c>
      <c r="N11" s="4">
        <f t="shared" si="2"/>
        <v>0</v>
      </c>
      <c r="O11" s="4">
        <f t="shared" si="3"/>
        <v>0</v>
      </c>
      <c r="P11" s="4">
        <f t="shared" si="4"/>
        <v>0</v>
      </c>
      <c r="Q11" s="4">
        <f t="shared" si="5"/>
        <v>0</v>
      </c>
      <c r="R11" s="4">
        <f t="shared" si="6"/>
        <v>0</v>
      </c>
      <c r="T11" s="11">
        <f t="shared" si="0"/>
        <v>0</v>
      </c>
    </row>
    <row r="12" spans="1:20" x14ac:dyDescent="0.2">
      <c r="A12" s="2">
        <v>9</v>
      </c>
      <c r="E12" s="3"/>
      <c r="G12" s="4">
        <f t="shared" si="1"/>
        <v>0</v>
      </c>
      <c r="H12" s="4">
        <f>(C12-D12) + E12</f>
        <v>0</v>
      </c>
      <c r="I12" s="3"/>
      <c r="J12" s="4">
        <f>I12/2 - E12/2</f>
        <v>0</v>
      </c>
      <c r="K12" s="4">
        <f>C12-J12</f>
        <v>0</v>
      </c>
      <c r="L12" s="4">
        <f>I12/2 + E12/2</f>
        <v>0</v>
      </c>
      <c r="M12" s="4">
        <f>D12-L12</f>
        <v>0</v>
      </c>
      <c r="N12" s="4">
        <f t="shared" si="2"/>
        <v>0</v>
      </c>
      <c r="O12" s="4">
        <f t="shared" si="3"/>
        <v>0</v>
      </c>
      <c r="P12" s="4">
        <f t="shared" si="4"/>
        <v>0</v>
      </c>
      <c r="Q12" s="4">
        <f t="shared" si="5"/>
        <v>0</v>
      </c>
      <c r="R12" s="4">
        <f t="shared" si="6"/>
        <v>0</v>
      </c>
      <c r="T12" s="11">
        <f t="shared" si="0"/>
        <v>0</v>
      </c>
    </row>
    <row r="13" spans="1:20" x14ac:dyDescent="0.2">
      <c r="A13" s="2">
        <v>10</v>
      </c>
      <c r="E13" s="3"/>
      <c r="G13" s="4">
        <f t="shared" si="1"/>
        <v>0</v>
      </c>
      <c r="H13" s="4">
        <f>(C13-D13) + E13</f>
        <v>0</v>
      </c>
      <c r="I13" s="3"/>
      <c r="J13" s="4">
        <f>I13/2 - E13/2</f>
        <v>0</v>
      </c>
      <c r="K13" s="4">
        <f>C13-J13</f>
        <v>0</v>
      </c>
      <c r="L13" s="4">
        <f>I13/2 + E13/2</f>
        <v>0</v>
      </c>
      <c r="M13" s="4">
        <f>D13-L13</f>
        <v>0</v>
      </c>
      <c r="N13" s="4">
        <f t="shared" si="2"/>
        <v>0</v>
      </c>
      <c r="O13" s="4">
        <f t="shared" si="3"/>
        <v>0</v>
      </c>
      <c r="P13" s="4">
        <f t="shared" si="4"/>
        <v>0</v>
      </c>
      <c r="Q13" s="4">
        <f t="shared" si="5"/>
        <v>0</v>
      </c>
      <c r="R13" s="4">
        <f t="shared" si="6"/>
        <v>0</v>
      </c>
      <c r="T13" s="11">
        <f t="shared" si="0"/>
        <v>0</v>
      </c>
    </row>
    <row r="14" spans="1:20" x14ac:dyDescent="0.2">
      <c r="A14" s="2">
        <v>11</v>
      </c>
      <c r="E14" s="3"/>
      <c r="G14" s="4">
        <f t="shared" si="1"/>
        <v>0</v>
      </c>
      <c r="H14" s="4">
        <f>(C14-D14) + E14</f>
        <v>0</v>
      </c>
      <c r="I14" s="3"/>
      <c r="J14" s="4">
        <f>I14/2 - E14/2</f>
        <v>0</v>
      </c>
      <c r="K14" s="4">
        <f>C14-J14</f>
        <v>0</v>
      </c>
      <c r="L14" s="4">
        <f>I14/2 + E14/2</f>
        <v>0</v>
      </c>
      <c r="M14" s="4">
        <f>D14-L14</f>
        <v>0</v>
      </c>
      <c r="N14" s="4">
        <f t="shared" si="2"/>
        <v>0</v>
      </c>
      <c r="O14" s="4">
        <f t="shared" si="3"/>
        <v>0</v>
      </c>
      <c r="P14" s="4">
        <f t="shared" si="4"/>
        <v>0</v>
      </c>
      <c r="Q14" s="4">
        <f t="shared" si="5"/>
        <v>0</v>
      </c>
      <c r="R14" s="4">
        <f t="shared" si="6"/>
        <v>0</v>
      </c>
      <c r="T14" s="11">
        <f t="shared" si="0"/>
        <v>0</v>
      </c>
    </row>
    <row r="15" spans="1:20" x14ac:dyDescent="0.2">
      <c r="A15" s="2">
        <v>12</v>
      </c>
      <c r="E15" s="3"/>
      <c r="G15" s="4">
        <f t="shared" si="1"/>
        <v>0</v>
      </c>
      <c r="H15" s="4">
        <f>(C15-D15) + E15</f>
        <v>0</v>
      </c>
      <c r="I15" s="3"/>
      <c r="J15" s="4">
        <f>I15/2 - E15/2</f>
        <v>0</v>
      </c>
      <c r="K15" s="4">
        <f>C15-J15</f>
        <v>0</v>
      </c>
      <c r="L15" s="4">
        <f>I15/2 + E15/2</f>
        <v>0</v>
      </c>
      <c r="M15" s="4">
        <f>D15-L15</f>
        <v>0</v>
      </c>
      <c r="N15" s="4">
        <f t="shared" si="2"/>
        <v>0</v>
      </c>
      <c r="O15" s="4">
        <f t="shared" si="3"/>
        <v>0</v>
      </c>
      <c r="P15" s="4">
        <f t="shared" si="4"/>
        <v>0</v>
      </c>
      <c r="Q15" s="4">
        <f t="shared" si="5"/>
        <v>0</v>
      </c>
      <c r="R15" s="4">
        <f t="shared" si="6"/>
        <v>0</v>
      </c>
      <c r="T15" s="11">
        <f t="shared" si="0"/>
        <v>0</v>
      </c>
    </row>
    <row r="16" spans="1:20" x14ac:dyDescent="0.2">
      <c r="A16" s="2">
        <v>13</v>
      </c>
      <c r="E16" s="3"/>
      <c r="G16" s="4">
        <f t="shared" si="1"/>
        <v>0</v>
      </c>
      <c r="H16" s="4">
        <f>(C16-D16) + E16</f>
        <v>0</v>
      </c>
      <c r="I16" s="3"/>
      <c r="J16" s="4">
        <f>I16/2 - E16/2</f>
        <v>0</v>
      </c>
      <c r="K16" s="4">
        <f>C16-J16</f>
        <v>0</v>
      </c>
      <c r="L16" s="4">
        <f>I16/2 + E16/2</f>
        <v>0</v>
      </c>
      <c r="M16" s="4">
        <f>D16-L16</f>
        <v>0</v>
      </c>
      <c r="N16" s="4">
        <f t="shared" si="2"/>
        <v>0</v>
      </c>
      <c r="O16" s="4">
        <f t="shared" si="3"/>
        <v>0</v>
      </c>
      <c r="P16" s="4">
        <f t="shared" si="4"/>
        <v>0</v>
      </c>
      <c r="Q16" s="4">
        <f t="shared" si="5"/>
        <v>0</v>
      </c>
      <c r="R16" s="4">
        <f t="shared" si="6"/>
        <v>0</v>
      </c>
      <c r="T16" s="11">
        <f t="shared" si="0"/>
        <v>0</v>
      </c>
    </row>
    <row r="18" spans="1:20" s="4" customFormat="1" x14ac:dyDescent="0.2">
      <c r="A18" s="5" t="s">
        <v>25</v>
      </c>
      <c r="C18" s="4">
        <f>SUM(C4:C16)</f>
        <v>0</v>
      </c>
      <c r="D18" s="4">
        <f>SUM(D4:D16)</f>
        <v>0</v>
      </c>
      <c r="E18" s="4">
        <f t="shared" ref="E18:F18" si="7">SUM(E4:E16)</f>
        <v>0</v>
      </c>
      <c r="F18" s="4">
        <f t="shared" si="7"/>
        <v>0</v>
      </c>
      <c r="G18" s="4">
        <f>SUM(G4:G16)</f>
        <v>0</v>
      </c>
      <c r="H18" s="4">
        <f>SUM(H4:H16)</f>
        <v>0</v>
      </c>
      <c r="I18" s="4">
        <f>SUM(I4:I16)</f>
        <v>0</v>
      </c>
      <c r="J18" s="4">
        <f>SUM(J4:J16)</f>
        <v>0</v>
      </c>
      <c r="K18" s="4">
        <f>SUM(K4:K16)</f>
        <v>0</v>
      </c>
      <c r="L18" s="4">
        <f>SUM(L4:L16)</f>
        <v>0</v>
      </c>
      <c r="M18" s="4">
        <f>SUM(M3:M16)</f>
        <v>0</v>
      </c>
      <c r="N18" s="4">
        <f t="shared" ref="N18:R18" si="8">SUM(N3:N16)</f>
        <v>0</v>
      </c>
      <c r="O18" s="4">
        <f t="shared" si="8"/>
        <v>0</v>
      </c>
      <c r="P18" s="4">
        <f t="shared" si="8"/>
        <v>0</v>
      </c>
      <c r="Q18" s="4">
        <f t="shared" si="8"/>
        <v>0</v>
      </c>
      <c r="R18" s="4">
        <f t="shared" si="8"/>
        <v>0</v>
      </c>
    </row>
    <row r="19" spans="1:20" s="7" customFormat="1" x14ac:dyDescent="0.2">
      <c r="A19" s="6" t="s">
        <v>26</v>
      </c>
      <c r="C19" s="7" t="e">
        <f t="shared" ref="C19:S19" si="9">AVERAGE(C4:C16)</f>
        <v>#DIV/0!</v>
      </c>
      <c r="D19" s="7" t="e">
        <f t="shared" si="9"/>
        <v>#DIV/0!</v>
      </c>
      <c r="E19" s="7" t="e">
        <f t="shared" si="9"/>
        <v>#DIV/0!</v>
      </c>
      <c r="F19" s="7" t="e">
        <f t="shared" si="9"/>
        <v>#DIV/0!</v>
      </c>
      <c r="G19" s="4">
        <f>AVERAGE(G4:G16)</f>
        <v>0</v>
      </c>
      <c r="H19" s="7">
        <f t="shared" si="9"/>
        <v>0</v>
      </c>
      <c r="I19" s="7" t="e">
        <f t="shared" si="9"/>
        <v>#DIV/0!</v>
      </c>
      <c r="J19" s="7">
        <f t="shared" si="9"/>
        <v>0</v>
      </c>
      <c r="K19" s="7">
        <f t="shared" si="9"/>
        <v>0</v>
      </c>
      <c r="L19" s="7">
        <f t="shared" si="9"/>
        <v>0</v>
      </c>
      <c r="M19" s="7">
        <f t="shared" si="9"/>
        <v>0</v>
      </c>
      <c r="N19" s="7">
        <f t="shared" ref="N19:R19" si="10">AVERAGE(N4:N16)</f>
        <v>0</v>
      </c>
      <c r="O19" s="7">
        <f t="shared" si="10"/>
        <v>0</v>
      </c>
      <c r="P19" s="7">
        <f t="shared" si="10"/>
        <v>0</v>
      </c>
      <c r="Q19" s="7">
        <f t="shared" si="10"/>
        <v>0</v>
      </c>
      <c r="R19" s="7">
        <f>AVERAGE(R4:R16)</f>
        <v>0</v>
      </c>
      <c r="S19" s="7" t="e">
        <f t="shared" si="9"/>
        <v>#DIV/0!</v>
      </c>
      <c r="T19" s="8">
        <f>AVERAGE(T4:T17)</f>
        <v>0</v>
      </c>
    </row>
    <row r="21" spans="1:20" x14ac:dyDescent="0.2">
      <c r="A21" s="2" t="s">
        <v>237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18E5-638D-9643-8E49-BA62ECB783BF}">
  <dimension ref="A1:S28"/>
  <sheetViews>
    <sheetView tabSelected="1" workbookViewId="0">
      <selection activeCell="H26" sqref="H26"/>
    </sheetView>
  </sheetViews>
  <sheetFormatPr baseColWidth="10" defaultRowHeight="16" x14ac:dyDescent="0.2"/>
  <cols>
    <col min="1" max="1" width="6" bestFit="1" customWidth="1"/>
    <col min="2" max="2" width="13.1640625" bestFit="1" customWidth="1"/>
    <col min="3" max="3" width="16.1640625" bestFit="1" customWidth="1"/>
    <col min="4" max="4" width="16.5" bestFit="1" customWidth="1"/>
    <col min="5" max="5" width="19.5" bestFit="1" customWidth="1"/>
    <col min="6" max="6" width="17.83203125" bestFit="1" customWidth="1"/>
    <col min="7" max="7" width="17.5" bestFit="1" customWidth="1"/>
    <col min="8" max="8" width="37.33203125" bestFit="1" customWidth="1"/>
    <col min="9" max="9" width="11.5" bestFit="1" customWidth="1"/>
    <col min="10" max="10" width="26.1640625" bestFit="1" customWidth="1"/>
    <col min="11" max="11" width="35" bestFit="1" customWidth="1"/>
    <col min="12" max="12" width="25.6640625" bestFit="1" customWidth="1"/>
    <col min="13" max="13" width="38.6640625" bestFit="1" customWidth="1"/>
    <col min="14" max="14" width="35.5" bestFit="1" customWidth="1"/>
    <col min="15" max="15" width="24.33203125" bestFit="1" customWidth="1"/>
    <col min="16" max="16" width="33" bestFit="1" customWidth="1"/>
    <col min="17" max="17" width="24.33203125" bestFit="1" customWidth="1"/>
    <col min="18" max="18" width="35.83203125" bestFit="1" customWidth="1"/>
    <col min="19" max="19" width="9.5" bestFit="1" customWidth="1"/>
  </cols>
  <sheetData>
    <row r="1" spans="1:19" ht="17" thickBot="1" x14ac:dyDescent="0.25">
      <c r="A1" s="33" t="s">
        <v>220</v>
      </c>
      <c r="B1" s="22" t="s">
        <v>216</v>
      </c>
      <c r="C1" s="23" t="s">
        <v>224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225</v>
      </c>
      <c r="J1" s="23" t="s">
        <v>243</v>
      </c>
      <c r="K1" s="23" t="s">
        <v>244</v>
      </c>
      <c r="L1" s="23" t="s">
        <v>245</v>
      </c>
      <c r="M1" s="23" t="s">
        <v>246</v>
      </c>
      <c r="N1" s="23" t="s">
        <v>247</v>
      </c>
      <c r="O1" s="23" t="s">
        <v>248</v>
      </c>
      <c r="P1" s="23" t="s">
        <v>249</v>
      </c>
      <c r="Q1" s="23" t="s">
        <v>250</v>
      </c>
      <c r="R1" s="34" t="s">
        <v>251</v>
      </c>
      <c r="S1" s="23" t="s">
        <v>252</v>
      </c>
    </row>
    <row r="2" spans="1:19" x14ac:dyDescent="0.2">
      <c r="A2" s="53">
        <v>6</v>
      </c>
      <c r="B2" s="54" t="s">
        <v>19</v>
      </c>
      <c r="C2" s="55">
        <v>35.5</v>
      </c>
      <c r="D2" s="56">
        <v>10.916666666666666</v>
      </c>
      <c r="E2" s="56">
        <v>-24.458333333333332</v>
      </c>
      <c r="F2" s="56">
        <v>-110.83333333333333</v>
      </c>
      <c r="G2" s="56">
        <v>-25.848412698412691</v>
      </c>
      <c r="H2" s="56">
        <v>0.125</v>
      </c>
      <c r="I2" s="56">
        <v>50.291666666666664</v>
      </c>
      <c r="J2" s="56">
        <v>37.375</v>
      </c>
      <c r="K2" s="56">
        <v>-1.875</v>
      </c>
      <c r="L2" s="56">
        <v>12.916666666666666</v>
      </c>
      <c r="M2" s="56">
        <v>-2</v>
      </c>
      <c r="N2" s="56">
        <v>-1.265079365079365</v>
      </c>
      <c r="O2" s="56">
        <v>38.070039682539679</v>
      </c>
      <c r="P2" s="56">
        <v>-2.5700396825396821</v>
      </c>
      <c r="Q2" s="56">
        <v>12.221626984126987</v>
      </c>
      <c r="R2" s="57">
        <v>-1.3049603174603173</v>
      </c>
      <c r="S2" s="58">
        <v>1</v>
      </c>
    </row>
    <row r="3" spans="1:19" x14ac:dyDescent="0.2">
      <c r="A3" s="41">
        <v>4</v>
      </c>
      <c r="B3" s="49" t="s">
        <v>46</v>
      </c>
      <c r="C3" s="42">
        <v>33.615384615384613</v>
      </c>
      <c r="D3" s="42">
        <v>11.692307692307692</v>
      </c>
      <c r="E3" s="42">
        <v>-21.384615384615383</v>
      </c>
      <c r="F3" s="42">
        <v>-110.38461538461539</v>
      </c>
      <c r="G3" s="42">
        <v>-22.554212454212458</v>
      </c>
      <c r="H3" s="42">
        <v>0.53846153846153844</v>
      </c>
      <c r="I3" s="42">
        <v>52.46153846153846</v>
      </c>
      <c r="J3" s="42">
        <v>36.92307692307692</v>
      </c>
      <c r="K3" s="42">
        <v>-3.3076923076923075</v>
      </c>
      <c r="L3" s="42">
        <v>15.538461538461538</v>
      </c>
      <c r="M3" s="42">
        <v>-3.8461538461538463</v>
      </c>
      <c r="N3" s="42">
        <v>-0.63113553113553145</v>
      </c>
      <c r="O3" s="42">
        <v>37.507875457875457</v>
      </c>
      <c r="P3" s="42">
        <v>-3.8924908424908433</v>
      </c>
      <c r="Q3" s="42">
        <v>14.953663003662999</v>
      </c>
      <c r="R3" s="42">
        <v>-3.2613553113553104</v>
      </c>
      <c r="S3" s="36">
        <v>1</v>
      </c>
    </row>
    <row r="4" spans="1:19" x14ac:dyDescent="0.2">
      <c r="A4" s="41">
        <v>16</v>
      </c>
      <c r="B4" s="49" t="s">
        <v>48</v>
      </c>
      <c r="C4" s="42">
        <v>37.5</v>
      </c>
      <c r="D4" s="42">
        <v>13.916666666666666</v>
      </c>
      <c r="E4" s="42">
        <v>-19.875</v>
      </c>
      <c r="F4" s="42">
        <v>-110.25</v>
      </c>
      <c r="G4" s="42">
        <v>-21.00198412698413</v>
      </c>
      <c r="H4" s="42">
        <v>3.7083333333333335</v>
      </c>
      <c r="I4" s="42">
        <v>58.666666666666664</v>
      </c>
      <c r="J4" s="42">
        <v>39.270833333333336</v>
      </c>
      <c r="K4" s="42">
        <v>-1.7708333333333333</v>
      </c>
      <c r="L4" s="42">
        <v>19.395833333333332</v>
      </c>
      <c r="M4" s="42">
        <v>-5.479166666666667</v>
      </c>
      <c r="N4" s="42">
        <v>2.5813492063492069</v>
      </c>
      <c r="O4" s="42">
        <v>39.834325396825399</v>
      </c>
      <c r="P4" s="42">
        <v>-2.3343253968253967</v>
      </c>
      <c r="Q4" s="42">
        <v>18.832341269841269</v>
      </c>
      <c r="R4" s="42">
        <v>-4.9156746031746037</v>
      </c>
      <c r="S4" s="36">
        <v>0</v>
      </c>
    </row>
    <row r="5" spans="1:19" x14ac:dyDescent="0.2">
      <c r="A5" s="43">
        <v>1</v>
      </c>
      <c r="B5" s="50" t="s">
        <v>24</v>
      </c>
      <c r="C5" s="44">
        <v>35.92307692307692</v>
      </c>
      <c r="D5" s="44">
        <v>17.76923076923077</v>
      </c>
      <c r="E5" s="44">
        <v>-19.423076923076923</v>
      </c>
      <c r="F5" s="44">
        <v>-110.53846153846153</v>
      </c>
      <c r="G5" s="44">
        <v>-20.425274725274729</v>
      </c>
      <c r="H5" s="44">
        <v>-1.2692307692307692</v>
      </c>
      <c r="I5" s="44">
        <v>53.92307692307692</v>
      </c>
      <c r="J5" s="44">
        <v>36.67307692307692</v>
      </c>
      <c r="K5" s="44">
        <v>-0.75</v>
      </c>
      <c r="L5" s="44">
        <v>17.25</v>
      </c>
      <c r="M5" s="44">
        <v>0.51923076923076927</v>
      </c>
      <c r="N5" s="44">
        <v>-2.2714285714285714</v>
      </c>
      <c r="O5" s="44">
        <v>37.174175824175826</v>
      </c>
      <c r="P5" s="44">
        <v>-1.2510989010989007</v>
      </c>
      <c r="Q5" s="44">
        <v>16.748901098901097</v>
      </c>
      <c r="R5" s="44">
        <v>1.0203296703296707</v>
      </c>
      <c r="S5" s="32">
        <v>1</v>
      </c>
    </row>
    <row r="6" spans="1:19" x14ac:dyDescent="0.2">
      <c r="A6" s="43">
        <v>15</v>
      </c>
      <c r="B6" s="50" t="s">
        <v>203</v>
      </c>
      <c r="C6" s="44">
        <v>44.166666666666664</v>
      </c>
      <c r="D6" s="44">
        <v>23.916666666666668</v>
      </c>
      <c r="E6" s="44">
        <v>-18.666666666666668</v>
      </c>
      <c r="F6" s="44">
        <v>-110</v>
      </c>
      <c r="G6" s="44">
        <v>-19.561111111111114</v>
      </c>
      <c r="H6" s="44">
        <v>1.5833333333333333</v>
      </c>
      <c r="I6" s="44">
        <v>59.25</v>
      </c>
      <c r="J6" s="44">
        <v>38.958333333333336</v>
      </c>
      <c r="K6" s="44">
        <v>5.208333333333333</v>
      </c>
      <c r="L6" s="44">
        <v>20.291666666666668</v>
      </c>
      <c r="M6" s="44">
        <v>3.625</v>
      </c>
      <c r="N6" s="44">
        <v>0.68888888888888822</v>
      </c>
      <c r="O6" s="44">
        <v>39.405555555555559</v>
      </c>
      <c r="P6" s="44">
        <v>4.7611111111111111</v>
      </c>
      <c r="Q6" s="44">
        <v>19.844444444444445</v>
      </c>
      <c r="R6" s="44">
        <v>4.0722222222222229</v>
      </c>
      <c r="S6" s="32">
        <v>0</v>
      </c>
    </row>
    <row r="7" spans="1:19" x14ac:dyDescent="0.2">
      <c r="A7" s="43">
        <v>7</v>
      </c>
      <c r="B7" s="50" t="s">
        <v>49</v>
      </c>
      <c r="C7" s="44">
        <v>37.25</v>
      </c>
      <c r="D7" s="44">
        <v>13.916666666666666</v>
      </c>
      <c r="E7" s="44">
        <v>-17.708333333333332</v>
      </c>
      <c r="F7" s="44">
        <v>-109.83333333333333</v>
      </c>
      <c r="G7" s="44">
        <v>-18.61984126984127</v>
      </c>
      <c r="H7" s="44">
        <v>5.625</v>
      </c>
      <c r="I7" s="44">
        <v>55</v>
      </c>
      <c r="J7" s="44">
        <v>36.354166666666664</v>
      </c>
      <c r="K7" s="44">
        <v>0.89583333333333337</v>
      </c>
      <c r="L7" s="44">
        <v>18.645833333333332</v>
      </c>
      <c r="M7" s="44">
        <v>-4.729166666666667</v>
      </c>
      <c r="N7" s="44">
        <v>4.7134920634920636</v>
      </c>
      <c r="O7" s="44">
        <v>36.809920634920637</v>
      </c>
      <c r="P7" s="44">
        <v>0.44007936507936485</v>
      </c>
      <c r="Q7" s="44">
        <v>18.190079365079367</v>
      </c>
      <c r="R7" s="44">
        <v>-4.2734126984126988</v>
      </c>
      <c r="S7" s="32">
        <v>1</v>
      </c>
    </row>
    <row r="8" spans="1:19" x14ac:dyDescent="0.2">
      <c r="A8" s="43">
        <v>11</v>
      </c>
      <c r="B8" s="50" t="s">
        <v>43</v>
      </c>
      <c r="C8" s="44">
        <v>35.5</v>
      </c>
      <c r="D8" s="44">
        <v>17.25</v>
      </c>
      <c r="E8" s="44">
        <v>-17.541666666666668</v>
      </c>
      <c r="F8" s="44">
        <v>-109.5</v>
      </c>
      <c r="G8" s="44">
        <v>-18.434920634920633</v>
      </c>
      <c r="H8" s="44">
        <v>0.70833333333333337</v>
      </c>
      <c r="I8" s="44">
        <v>54.166666666666664</v>
      </c>
      <c r="J8" s="44">
        <v>35.854166666666664</v>
      </c>
      <c r="K8" s="44">
        <v>-0.35416666666666669</v>
      </c>
      <c r="L8" s="44">
        <v>18.3125</v>
      </c>
      <c r="M8" s="44">
        <v>-1.0625</v>
      </c>
      <c r="N8" s="44">
        <v>-0.1849206349206344</v>
      </c>
      <c r="O8" s="44">
        <v>36.300793650793644</v>
      </c>
      <c r="P8" s="44">
        <v>-0.80079365079365028</v>
      </c>
      <c r="Q8" s="44">
        <v>17.865873015873017</v>
      </c>
      <c r="R8" s="44">
        <v>-0.61587301587301668</v>
      </c>
      <c r="S8" s="32">
        <v>0</v>
      </c>
    </row>
    <row r="9" spans="1:19" x14ac:dyDescent="0.2">
      <c r="A9" s="43">
        <v>5</v>
      </c>
      <c r="B9" s="50" t="s">
        <v>37</v>
      </c>
      <c r="C9" s="44">
        <v>33.615384615384613</v>
      </c>
      <c r="D9" s="44">
        <v>16.384615384615383</v>
      </c>
      <c r="E9" s="44">
        <v>-17.307692307692307</v>
      </c>
      <c r="F9" s="44">
        <v>-109.69230769230769</v>
      </c>
      <c r="G9" s="44">
        <v>-18.293772893772893</v>
      </c>
      <c r="H9" s="44">
        <v>-7.6923076923076927E-2</v>
      </c>
      <c r="I9" s="44">
        <v>49.807692307692307</v>
      </c>
      <c r="J9" s="44">
        <v>33.557692307692307</v>
      </c>
      <c r="K9" s="44">
        <v>5.7692307692307696E-2</v>
      </c>
      <c r="L9" s="44">
        <v>16.25</v>
      </c>
      <c r="M9" s="44">
        <v>0.13461538461538461</v>
      </c>
      <c r="N9" s="44">
        <v>-1.0630036630036632</v>
      </c>
      <c r="O9" s="44">
        <v>34.050732600732594</v>
      </c>
      <c r="P9" s="44">
        <v>-0.43534798534798497</v>
      </c>
      <c r="Q9" s="44">
        <v>15.756959706959707</v>
      </c>
      <c r="R9" s="44">
        <v>0.62765567765567787</v>
      </c>
      <c r="S9" s="32">
        <v>1</v>
      </c>
    </row>
    <row r="10" spans="1:19" x14ac:dyDescent="0.2">
      <c r="A10" s="41">
        <v>2</v>
      </c>
      <c r="B10" s="49" t="s">
        <v>72</v>
      </c>
      <c r="C10" s="42">
        <v>33.153846153846153</v>
      </c>
      <c r="D10" s="42">
        <v>20.384615384615383</v>
      </c>
      <c r="E10" s="42">
        <v>-17.03846153846154</v>
      </c>
      <c r="F10" s="42">
        <v>-110.84615384615384</v>
      </c>
      <c r="G10" s="42">
        <v>-18.104761904761904</v>
      </c>
      <c r="H10" s="42">
        <v>-4.2692307692307692</v>
      </c>
      <c r="I10" s="42">
        <v>52.615384615384613</v>
      </c>
      <c r="J10" s="42">
        <v>34.82692307692308</v>
      </c>
      <c r="K10" s="42">
        <v>-1.6730769230769231</v>
      </c>
      <c r="L10" s="42">
        <v>17.78846153846154</v>
      </c>
      <c r="M10" s="42">
        <v>2.5961538461538463</v>
      </c>
      <c r="N10" s="42">
        <v>-5.3355311355311352</v>
      </c>
      <c r="O10" s="42">
        <v>35.360073260073257</v>
      </c>
      <c r="P10" s="42">
        <v>-2.2062271062271055</v>
      </c>
      <c r="Q10" s="42">
        <v>17.255311355311356</v>
      </c>
      <c r="R10" s="42">
        <v>3.1293040293040288</v>
      </c>
      <c r="S10" s="36">
        <v>1</v>
      </c>
    </row>
    <row r="11" spans="1:19" x14ac:dyDescent="0.2">
      <c r="A11" s="41">
        <v>8</v>
      </c>
      <c r="B11" s="49" t="s">
        <v>33</v>
      </c>
      <c r="C11" s="42">
        <v>39.07692307692308</v>
      </c>
      <c r="D11" s="42">
        <v>21.923076923076923</v>
      </c>
      <c r="E11" s="42">
        <v>-15.653846153846153</v>
      </c>
      <c r="F11" s="42">
        <v>-110.76923076923077</v>
      </c>
      <c r="G11" s="42">
        <v>-16.461904761904762</v>
      </c>
      <c r="H11" s="42">
        <v>1.5</v>
      </c>
      <c r="I11" s="42">
        <v>61.07692307692308</v>
      </c>
      <c r="J11" s="42">
        <v>38.365384615384613</v>
      </c>
      <c r="K11" s="42">
        <v>0.71153846153846156</v>
      </c>
      <c r="L11" s="42">
        <v>22.71153846153846</v>
      </c>
      <c r="M11" s="42">
        <v>-0.78846153846153844</v>
      </c>
      <c r="N11" s="42">
        <v>0.69194139194139148</v>
      </c>
      <c r="O11" s="42">
        <v>38.769413919413914</v>
      </c>
      <c r="P11" s="42">
        <v>0.30750915750915742</v>
      </c>
      <c r="Q11" s="42">
        <v>22.307509157509159</v>
      </c>
      <c r="R11" s="42">
        <v>-0.38443223443223434</v>
      </c>
      <c r="S11" s="36">
        <v>1</v>
      </c>
    </row>
    <row r="12" spans="1:19" x14ac:dyDescent="0.2">
      <c r="A12" s="43">
        <v>3</v>
      </c>
      <c r="B12" s="50" t="s">
        <v>187</v>
      </c>
      <c r="C12" s="44">
        <v>39.833333333333336</v>
      </c>
      <c r="D12" s="44">
        <v>13.583333333333334</v>
      </c>
      <c r="E12" s="44">
        <v>-15.291666666666666</v>
      </c>
      <c r="F12" s="44">
        <v>-111.66666666666667</v>
      </c>
      <c r="G12" s="44">
        <v>-16.198809523809526</v>
      </c>
      <c r="H12" s="44">
        <v>10.958333333333334</v>
      </c>
      <c r="I12" s="44">
        <v>47.208333333333336</v>
      </c>
      <c r="J12" s="44">
        <v>31.25</v>
      </c>
      <c r="K12" s="44">
        <v>8.5833333333333339</v>
      </c>
      <c r="L12" s="44">
        <v>15.958333333333334</v>
      </c>
      <c r="M12" s="44">
        <v>-2.375</v>
      </c>
      <c r="N12" s="44">
        <v>10.051190476190476</v>
      </c>
      <c r="O12" s="44">
        <v>31.703571428571433</v>
      </c>
      <c r="P12" s="44">
        <v>8.1297619047619047</v>
      </c>
      <c r="Q12" s="44">
        <v>15.504761904761907</v>
      </c>
      <c r="R12" s="44">
        <v>-1.921428571428571</v>
      </c>
      <c r="S12" s="32">
        <v>1</v>
      </c>
    </row>
    <row r="13" spans="1:19" s="37" customFormat="1" x14ac:dyDescent="0.2">
      <c r="A13" s="43">
        <v>9</v>
      </c>
      <c r="B13" s="50" t="s">
        <v>86</v>
      </c>
      <c r="C13" s="44">
        <v>43.333333333333336</v>
      </c>
      <c r="D13" s="44">
        <v>14.666666666666666</v>
      </c>
      <c r="E13" s="44">
        <v>-14.625</v>
      </c>
      <c r="F13" s="44">
        <v>-109.58333333333333</v>
      </c>
      <c r="G13" s="44">
        <v>-15.245634920634922</v>
      </c>
      <c r="H13" s="44">
        <v>14.041666666666666</v>
      </c>
      <c r="I13" s="44">
        <v>50.541666666666664</v>
      </c>
      <c r="J13" s="44">
        <v>32.583333333333336</v>
      </c>
      <c r="K13" s="44">
        <v>10.75</v>
      </c>
      <c r="L13" s="44">
        <v>17.958333333333332</v>
      </c>
      <c r="M13" s="44">
        <v>-3.2916666666666665</v>
      </c>
      <c r="N13" s="44">
        <v>13.421031746031744</v>
      </c>
      <c r="O13" s="44">
        <v>32.893650793650799</v>
      </c>
      <c r="P13" s="44">
        <v>10.439682539682538</v>
      </c>
      <c r="Q13" s="44">
        <v>17.648015873015868</v>
      </c>
      <c r="R13" s="44">
        <v>-2.981349206349206</v>
      </c>
      <c r="S13" s="32">
        <v>1</v>
      </c>
    </row>
    <row r="14" spans="1:19" x14ac:dyDescent="0.2">
      <c r="A14" s="41">
        <v>13</v>
      </c>
      <c r="B14" s="49" t="s">
        <v>40</v>
      </c>
      <c r="C14" s="42">
        <v>35.53846153846154</v>
      </c>
      <c r="D14" s="42">
        <v>22.307692307692307</v>
      </c>
      <c r="E14" s="42">
        <v>-14.076923076923077</v>
      </c>
      <c r="F14" s="42">
        <v>-110.92307692307692</v>
      </c>
      <c r="G14" s="42">
        <v>-14.960073260073257</v>
      </c>
      <c r="H14" s="42">
        <v>-0.84615384615384615</v>
      </c>
      <c r="I14" s="42">
        <v>54.115384615384613</v>
      </c>
      <c r="J14" s="42">
        <v>34.096153846153847</v>
      </c>
      <c r="K14" s="42">
        <v>1.4423076923076923</v>
      </c>
      <c r="L14" s="42">
        <v>20.01923076923077</v>
      </c>
      <c r="M14" s="42">
        <v>2.2884615384615383</v>
      </c>
      <c r="N14" s="42">
        <v>-1.7293040293040294</v>
      </c>
      <c r="O14" s="42">
        <v>34.537728937728943</v>
      </c>
      <c r="P14" s="42">
        <v>1.0007326007326018</v>
      </c>
      <c r="Q14" s="42">
        <v>19.577655677655677</v>
      </c>
      <c r="R14" s="42">
        <v>2.7300366300366292</v>
      </c>
      <c r="S14" s="32">
        <v>1</v>
      </c>
    </row>
    <row r="15" spans="1:19" x14ac:dyDescent="0.2">
      <c r="A15" s="45">
        <v>12</v>
      </c>
      <c r="B15" s="51" t="s">
        <v>150</v>
      </c>
      <c r="C15" s="46">
        <v>38.53846153846154</v>
      </c>
      <c r="D15" s="46">
        <v>20.846153846153847</v>
      </c>
      <c r="E15" s="46">
        <v>-13</v>
      </c>
      <c r="F15" s="46">
        <v>-111</v>
      </c>
      <c r="G15" s="46">
        <v>-13.843223443223444</v>
      </c>
      <c r="H15" s="46">
        <v>4.6923076923076925</v>
      </c>
      <c r="I15" s="46">
        <v>54.846153846153847</v>
      </c>
      <c r="J15" s="46">
        <v>33.92307692307692</v>
      </c>
      <c r="K15" s="46">
        <v>4.615384615384615</v>
      </c>
      <c r="L15" s="46">
        <v>20.923076923076923</v>
      </c>
      <c r="M15" s="46">
        <v>-7.6923076923076927E-2</v>
      </c>
      <c r="N15" s="46">
        <v>3.8490842490842492</v>
      </c>
      <c r="O15" s="46">
        <v>34.344688644688645</v>
      </c>
      <c r="P15" s="46">
        <v>4.193772893772894</v>
      </c>
      <c r="Q15" s="46">
        <v>20.501465201465201</v>
      </c>
      <c r="R15" s="46">
        <v>0.34468864468864469</v>
      </c>
      <c r="S15" s="36">
        <v>1</v>
      </c>
    </row>
    <row r="16" spans="1:19" x14ac:dyDescent="0.2">
      <c r="A16" s="43">
        <v>25</v>
      </c>
      <c r="B16" s="50" t="s">
        <v>219</v>
      </c>
      <c r="C16" s="44">
        <v>35.166666666666664</v>
      </c>
      <c r="D16" s="44">
        <v>22.75</v>
      </c>
      <c r="E16" s="44">
        <v>-11.708333333333334</v>
      </c>
      <c r="F16" s="44">
        <v>-110.58333333333333</v>
      </c>
      <c r="G16" s="44">
        <v>-12.317857142857143</v>
      </c>
      <c r="H16" s="44">
        <v>0.70833333333333337</v>
      </c>
      <c r="I16" s="44">
        <v>57.958333333333336</v>
      </c>
      <c r="J16" s="44">
        <v>34.833333333333336</v>
      </c>
      <c r="K16" s="44">
        <v>0.33333333333333331</v>
      </c>
      <c r="L16" s="44">
        <v>23.125</v>
      </c>
      <c r="M16" s="44">
        <v>-0.375</v>
      </c>
      <c r="N16" s="44">
        <v>9.8809523809523306E-2</v>
      </c>
      <c r="O16" s="44">
        <v>35.138095238095239</v>
      </c>
      <c r="P16" s="44">
        <v>2.8571428571428765E-2</v>
      </c>
      <c r="Q16" s="44">
        <v>22.820238095238096</v>
      </c>
      <c r="R16" s="44">
        <v>-7.0238095238095433E-2</v>
      </c>
      <c r="S16" s="32">
        <v>0</v>
      </c>
    </row>
    <row r="17" spans="1:19" x14ac:dyDescent="0.2">
      <c r="A17" s="43">
        <v>23</v>
      </c>
      <c r="B17" s="50" t="s">
        <v>132</v>
      </c>
      <c r="C17" s="44">
        <v>29.083333333333332</v>
      </c>
      <c r="D17" s="44">
        <v>20.083333333333332</v>
      </c>
      <c r="E17" s="44">
        <v>-10.458333333333334</v>
      </c>
      <c r="F17" s="44">
        <v>-109</v>
      </c>
      <c r="G17" s="44">
        <v>-10.939285714285717</v>
      </c>
      <c r="H17" s="44">
        <v>-1.4583333333333333</v>
      </c>
      <c r="I17" s="44">
        <v>51.166666666666664</v>
      </c>
      <c r="J17" s="44">
        <v>30.8125</v>
      </c>
      <c r="K17" s="44">
        <v>-1.7291666666666667</v>
      </c>
      <c r="L17" s="44">
        <v>20.354166666666668</v>
      </c>
      <c r="M17" s="44">
        <v>-0.27083333333333331</v>
      </c>
      <c r="N17" s="44">
        <v>-1.9392857142857143</v>
      </c>
      <c r="O17" s="44">
        <v>31.052976190476198</v>
      </c>
      <c r="P17" s="44">
        <v>-1.9696428571428564</v>
      </c>
      <c r="Q17" s="44">
        <v>20.113690476190474</v>
      </c>
      <c r="R17" s="44">
        <v>-3.0357142857142822E-2</v>
      </c>
      <c r="S17" s="32">
        <v>0</v>
      </c>
    </row>
    <row r="18" spans="1:19" x14ac:dyDescent="0.2">
      <c r="A18" s="43">
        <v>19</v>
      </c>
      <c r="B18" s="50" t="s">
        <v>64</v>
      </c>
      <c r="C18" s="44">
        <v>32.916666666666664</v>
      </c>
      <c r="D18" s="44">
        <v>15</v>
      </c>
      <c r="E18" s="44">
        <v>-9.9583333333333339</v>
      </c>
      <c r="F18" s="44">
        <v>-110.83333333333333</v>
      </c>
      <c r="G18" s="44">
        <v>-10.385317460317461</v>
      </c>
      <c r="H18" s="44">
        <v>7.958333333333333</v>
      </c>
      <c r="I18" s="44">
        <v>49.166666666666664</v>
      </c>
      <c r="J18" s="44">
        <v>29.5625</v>
      </c>
      <c r="K18" s="44">
        <v>3.3541666666666665</v>
      </c>
      <c r="L18" s="44">
        <v>19.604166666666668</v>
      </c>
      <c r="M18" s="44">
        <v>-4.604166666666667</v>
      </c>
      <c r="N18" s="44">
        <v>7.5313492063492076</v>
      </c>
      <c r="O18" s="44">
        <v>29.775992063492065</v>
      </c>
      <c r="P18" s="44">
        <v>3.1406746031746025</v>
      </c>
      <c r="Q18" s="44">
        <v>19.390674603174606</v>
      </c>
      <c r="R18" s="44">
        <v>-4.3906746031746033</v>
      </c>
      <c r="S18" s="32">
        <v>0</v>
      </c>
    </row>
    <row r="19" spans="1:19" x14ac:dyDescent="0.2">
      <c r="A19" s="41">
        <v>18</v>
      </c>
      <c r="B19" s="49" t="s">
        <v>124</v>
      </c>
      <c r="C19" s="42">
        <v>30.23076923076923</v>
      </c>
      <c r="D19" s="42">
        <v>21.53846153846154</v>
      </c>
      <c r="E19" s="42">
        <v>-9.6923076923076916</v>
      </c>
      <c r="F19" s="42">
        <v>-110.76923076923077</v>
      </c>
      <c r="G19" s="42">
        <v>-10.308424908424909</v>
      </c>
      <c r="H19" s="42">
        <v>-1</v>
      </c>
      <c r="I19" s="42">
        <v>48.846153846153847</v>
      </c>
      <c r="J19" s="42">
        <v>29.26923076923077</v>
      </c>
      <c r="K19" s="42">
        <v>0.96153846153846156</v>
      </c>
      <c r="L19" s="42">
        <v>19.576923076923077</v>
      </c>
      <c r="M19" s="42">
        <v>1.9615384615384615</v>
      </c>
      <c r="N19" s="42">
        <v>-1.6161172161172166</v>
      </c>
      <c r="O19" s="42">
        <v>29.577289377289375</v>
      </c>
      <c r="P19" s="42">
        <v>0.65347985347985338</v>
      </c>
      <c r="Q19" s="42">
        <v>19.268864468864471</v>
      </c>
      <c r="R19" s="42">
        <v>2.26959706959707</v>
      </c>
      <c r="S19" s="36">
        <v>0</v>
      </c>
    </row>
    <row r="20" spans="1:19" x14ac:dyDescent="0.2">
      <c r="A20" s="41">
        <v>24</v>
      </c>
      <c r="B20" s="49" t="s">
        <v>100</v>
      </c>
      <c r="C20" s="42">
        <v>36.230769230769234</v>
      </c>
      <c r="D20" s="42">
        <v>21.923076923076923</v>
      </c>
      <c r="E20" s="42">
        <v>-8.7307692307692299</v>
      </c>
      <c r="F20" s="42">
        <v>-111</v>
      </c>
      <c r="G20" s="42">
        <v>-9.1677655677655689</v>
      </c>
      <c r="H20" s="42">
        <v>5.5769230769230766</v>
      </c>
      <c r="I20" s="42">
        <v>57.192307692307693</v>
      </c>
      <c r="J20" s="42">
        <v>32.96153846153846</v>
      </c>
      <c r="K20" s="42">
        <v>3.2692307692307692</v>
      </c>
      <c r="L20" s="42">
        <v>24.23076923076923</v>
      </c>
      <c r="M20" s="42">
        <v>-2.3076923076923075</v>
      </c>
      <c r="N20" s="42">
        <v>5.1399267399267394</v>
      </c>
      <c r="O20" s="42">
        <v>33.180036630036632</v>
      </c>
      <c r="P20" s="42">
        <v>3.0507326007326006</v>
      </c>
      <c r="Q20" s="42">
        <v>24.012271062271068</v>
      </c>
      <c r="R20" s="42">
        <v>-2.0891941391941384</v>
      </c>
      <c r="S20" s="36">
        <v>0</v>
      </c>
    </row>
    <row r="21" spans="1:19" x14ac:dyDescent="0.2">
      <c r="A21" s="41">
        <v>14</v>
      </c>
      <c r="B21" s="49" t="s">
        <v>131</v>
      </c>
      <c r="C21" s="42">
        <v>31.583333333333332</v>
      </c>
      <c r="D21" s="42">
        <v>17.833333333333332</v>
      </c>
      <c r="E21" s="42">
        <v>-4.375</v>
      </c>
      <c r="F21" s="42">
        <v>-109.91666666666667</v>
      </c>
      <c r="G21" s="42">
        <v>-4.5146825396825401</v>
      </c>
      <c r="H21" s="42">
        <v>9.375</v>
      </c>
      <c r="I21" s="42">
        <v>46.25</v>
      </c>
      <c r="J21" s="42">
        <v>25.3125</v>
      </c>
      <c r="K21" s="42">
        <v>6.270833333333333</v>
      </c>
      <c r="L21" s="42">
        <v>20.9375</v>
      </c>
      <c r="M21" s="42">
        <v>-3.1041666666666665</v>
      </c>
      <c r="N21" s="42">
        <v>9.235317460317459</v>
      </c>
      <c r="O21" s="42">
        <v>25.382341269841273</v>
      </c>
      <c r="P21" s="42">
        <v>6.2009920634920626</v>
      </c>
      <c r="Q21" s="42">
        <v>20.867658730158727</v>
      </c>
      <c r="R21" s="42">
        <v>-3.034325396825396</v>
      </c>
      <c r="S21" s="36">
        <v>0</v>
      </c>
    </row>
    <row r="22" spans="1:19" x14ac:dyDescent="0.2">
      <c r="A22" s="41">
        <v>20</v>
      </c>
      <c r="B22" s="49" t="s">
        <v>218</v>
      </c>
      <c r="C22" s="42">
        <v>34.5</v>
      </c>
      <c r="D22" s="42">
        <v>22</v>
      </c>
      <c r="E22" s="42">
        <v>-3</v>
      </c>
      <c r="F22" s="42">
        <v>-92.25</v>
      </c>
      <c r="G22" s="42">
        <v>-3.7638888888888888</v>
      </c>
      <c r="H22" s="42">
        <v>9.5</v>
      </c>
      <c r="I22" s="42">
        <v>57.125</v>
      </c>
      <c r="J22" s="42">
        <v>30.0625</v>
      </c>
      <c r="K22" s="42">
        <v>4.4375</v>
      </c>
      <c r="L22" s="42">
        <v>27.0625</v>
      </c>
      <c r="M22" s="42">
        <v>-5.0625</v>
      </c>
      <c r="N22" s="42">
        <v>8.7361111111111107</v>
      </c>
      <c r="O22" s="42">
        <v>30.444444444444443</v>
      </c>
      <c r="P22" s="42">
        <v>4.0555555555555554</v>
      </c>
      <c r="Q22" s="42">
        <v>26.680555555555557</v>
      </c>
      <c r="R22" s="42">
        <v>-4.6805555555555562</v>
      </c>
      <c r="S22" s="36">
        <v>0</v>
      </c>
    </row>
    <row r="23" spans="1:19" x14ac:dyDescent="0.2">
      <c r="A23" s="43">
        <v>17</v>
      </c>
      <c r="B23" s="50" t="s">
        <v>122</v>
      </c>
      <c r="C23" s="44">
        <v>30.75</v>
      </c>
      <c r="D23" s="44">
        <v>20.083333333333332</v>
      </c>
      <c r="E23" s="44">
        <v>-2.2083333333333335</v>
      </c>
      <c r="F23" s="44">
        <v>-111.41666666666667</v>
      </c>
      <c r="G23" s="44">
        <v>-2.3511904761904763</v>
      </c>
      <c r="H23" s="44">
        <v>8.4583333333333339</v>
      </c>
      <c r="I23" s="44">
        <v>48.541666666666664</v>
      </c>
      <c r="J23" s="44">
        <v>25.375</v>
      </c>
      <c r="K23" s="44">
        <v>5.375</v>
      </c>
      <c r="L23" s="44">
        <v>23.166666666666668</v>
      </c>
      <c r="M23" s="44">
        <v>-3.0833333333333335</v>
      </c>
      <c r="N23" s="44">
        <v>8.3154761904761916</v>
      </c>
      <c r="O23" s="44">
        <v>25.446428571428573</v>
      </c>
      <c r="P23" s="44">
        <v>5.3035714285714279</v>
      </c>
      <c r="Q23" s="44">
        <v>23.095238095238091</v>
      </c>
      <c r="R23" s="44">
        <v>-3.0119047619047628</v>
      </c>
      <c r="S23" s="32">
        <v>0</v>
      </c>
    </row>
    <row r="24" spans="1:19" x14ac:dyDescent="0.2">
      <c r="A24" s="41">
        <v>22</v>
      </c>
      <c r="B24" s="49" t="s">
        <v>160</v>
      </c>
      <c r="C24" s="42">
        <v>32.583333333333336</v>
      </c>
      <c r="D24" s="42">
        <v>28.666666666666668</v>
      </c>
      <c r="E24" s="42">
        <v>-2.1666666666666665</v>
      </c>
      <c r="F24" s="42">
        <v>-111.25</v>
      </c>
      <c r="G24" s="42">
        <v>-2.2996031746031735</v>
      </c>
      <c r="H24" s="42">
        <v>1.75</v>
      </c>
      <c r="I24" s="42">
        <v>56.166666666666664</v>
      </c>
      <c r="J24" s="42">
        <v>29.166666666666668</v>
      </c>
      <c r="K24" s="42">
        <v>3.4166666666666665</v>
      </c>
      <c r="L24" s="42">
        <v>27</v>
      </c>
      <c r="M24" s="42">
        <v>1.6666666666666667</v>
      </c>
      <c r="N24" s="42">
        <v>1.6170634920634928</v>
      </c>
      <c r="O24" s="42">
        <v>29.233134920634921</v>
      </c>
      <c r="P24" s="42">
        <v>3.3501984126984126</v>
      </c>
      <c r="Q24" s="42">
        <v>26.933531746031747</v>
      </c>
      <c r="R24" s="42">
        <v>1.7331349206349209</v>
      </c>
      <c r="S24" s="36">
        <v>0</v>
      </c>
    </row>
    <row r="25" spans="1:19" x14ac:dyDescent="0.2">
      <c r="A25" s="43">
        <v>21</v>
      </c>
      <c r="B25" s="50" t="s">
        <v>15</v>
      </c>
      <c r="C25" s="44">
        <v>28.916666666666668</v>
      </c>
      <c r="D25" s="44">
        <v>22.083333333333332</v>
      </c>
      <c r="E25" s="44">
        <v>-1.2916666666666667</v>
      </c>
      <c r="F25" s="44">
        <v>-109.75</v>
      </c>
      <c r="G25" s="44">
        <v>-1.2416666666666674</v>
      </c>
      <c r="H25" s="44">
        <v>5.541666666666667</v>
      </c>
      <c r="I25" s="44">
        <v>48.5</v>
      </c>
      <c r="J25" s="44">
        <v>24.895833333333332</v>
      </c>
      <c r="K25" s="44">
        <v>4.020833333333333</v>
      </c>
      <c r="L25" s="44">
        <v>23.604166666666668</v>
      </c>
      <c r="M25" s="44">
        <v>-1.5208333333333333</v>
      </c>
      <c r="N25" s="44">
        <v>5.5916666666666659</v>
      </c>
      <c r="O25" s="44">
        <v>24.870833333333334</v>
      </c>
      <c r="P25" s="44">
        <v>4.0458333333333334</v>
      </c>
      <c r="Q25" s="44">
        <v>23.629166666666666</v>
      </c>
      <c r="R25" s="44">
        <v>-1.5458333333333332</v>
      </c>
      <c r="S25" s="32">
        <v>0</v>
      </c>
    </row>
    <row r="26" spans="1:19" x14ac:dyDescent="0.2">
      <c r="A26" s="41">
        <v>10</v>
      </c>
      <c r="B26" s="49" t="s">
        <v>217</v>
      </c>
      <c r="C26" s="42">
        <v>33.07692307692308</v>
      </c>
      <c r="D26" s="42">
        <v>21.307692307692307</v>
      </c>
      <c r="E26" s="42">
        <v>-0.38461538461538464</v>
      </c>
      <c r="F26" s="42">
        <v>-110.53846153846153</v>
      </c>
      <c r="G26" s="42">
        <v>-0.37948717948717953</v>
      </c>
      <c r="H26" s="42">
        <v>11.384615384615385</v>
      </c>
      <c r="I26" s="42">
        <v>52.92307692307692</v>
      </c>
      <c r="J26" s="42">
        <v>26.653846153846153</v>
      </c>
      <c r="K26" s="42">
        <v>6.4230769230769234</v>
      </c>
      <c r="L26" s="42">
        <v>26.26923076923077</v>
      </c>
      <c r="M26" s="42">
        <v>-4.9615384615384617</v>
      </c>
      <c r="N26" s="42">
        <v>11.38974358974359</v>
      </c>
      <c r="O26" s="42">
        <v>26.651282051282053</v>
      </c>
      <c r="P26" s="42">
        <v>6.4256410256410259</v>
      </c>
      <c r="Q26" s="42">
        <v>26.271794871794871</v>
      </c>
      <c r="R26" s="42">
        <v>-4.9641025641025642</v>
      </c>
      <c r="S26" s="59">
        <v>1</v>
      </c>
    </row>
    <row r="28" spans="1:19" x14ac:dyDescent="0.2">
      <c r="B28" t="s">
        <v>253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0FA7-4D94-FF48-A3FB-0F995781E14B}">
  <dimension ref="A1:S26"/>
  <sheetViews>
    <sheetView topLeftCell="L1" workbookViewId="0">
      <selection activeCell="U15" sqref="U15"/>
    </sheetView>
  </sheetViews>
  <sheetFormatPr baseColWidth="10" defaultRowHeight="16" x14ac:dyDescent="0.2"/>
  <cols>
    <col min="3" max="3" width="16" customWidth="1"/>
    <col min="4" max="4" width="16.33203125" customWidth="1"/>
    <col min="5" max="5" width="19.1640625" customWidth="1"/>
    <col min="6" max="6" width="17.6640625" customWidth="1"/>
    <col min="7" max="7" width="17.33203125" customWidth="1"/>
    <col min="8" max="8" width="36.5" customWidth="1"/>
    <col min="9" max="9" width="11.33203125" customWidth="1"/>
    <col min="10" max="10" width="25.6640625" customWidth="1"/>
    <col min="11" max="11" width="34.1640625" customWidth="1"/>
    <col min="12" max="12" width="25.1640625" customWidth="1"/>
    <col min="13" max="13" width="37.83203125" customWidth="1"/>
    <col min="14" max="14" width="34.6640625" customWidth="1"/>
    <col min="15" max="15" width="23.83203125" customWidth="1"/>
    <col min="16" max="16" width="32.33203125" customWidth="1"/>
    <col min="17" max="17" width="23.83203125" customWidth="1"/>
    <col min="18" max="18" width="35" customWidth="1"/>
    <col min="19" max="19" width="9.5" bestFit="1" customWidth="1"/>
  </cols>
  <sheetData>
    <row r="1" spans="1:19" ht="17" thickBot="1" x14ac:dyDescent="0.25">
      <c r="A1" s="33" t="s">
        <v>220</v>
      </c>
      <c r="B1" s="22" t="s">
        <v>216</v>
      </c>
      <c r="C1" s="23" t="s">
        <v>224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225</v>
      </c>
      <c r="J1" s="23" t="s">
        <v>243</v>
      </c>
      <c r="K1" s="23" t="s">
        <v>244</v>
      </c>
      <c r="L1" s="23" t="s">
        <v>245</v>
      </c>
      <c r="M1" s="23" t="s">
        <v>246</v>
      </c>
      <c r="N1" s="23" t="s">
        <v>247</v>
      </c>
      <c r="O1" s="23" t="s">
        <v>248</v>
      </c>
      <c r="P1" s="23" t="s">
        <v>249</v>
      </c>
      <c r="Q1" s="23" t="s">
        <v>250</v>
      </c>
      <c r="R1" s="34" t="s">
        <v>251</v>
      </c>
      <c r="S1" s="23" t="s">
        <v>252</v>
      </c>
    </row>
    <row r="2" spans="1:19" x14ac:dyDescent="0.2">
      <c r="A2" s="38">
        <v>1</v>
      </c>
      <c r="B2" s="48" t="s">
        <v>24</v>
      </c>
      <c r="C2" s="47">
        <v>467</v>
      </c>
      <c r="D2" s="39">
        <v>231</v>
      </c>
      <c r="E2" s="39">
        <v>-252.5</v>
      </c>
      <c r="F2" s="39">
        <v>-1437</v>
      </c>
      <c r="G2" s="39">
        <v>-265.52857142857147</v>
      </c>
      <c r="H2" s="39">
        <v>-16.5</v>
      </c>
      <c r="I2" s="39">
        <v>701</v>
      </c>
      <c r="J2" s="39">
        <v>476.75</v>
      </c>
      <c r="K2" s="39">
        <v>-9.75</v>
      </c>
      <c r="L2" s="39">
        <v>224.25</v>
      </c>
      <c r="M2" s="39">
        <v>6.75</v>
      </c>
      <c r="N2" s="39">
        <v>-29.528571428571428</v>
      </c>
      <c r="O2" s="39">
        <v>483.26428571428573</v>
      </c>
      <c r="P2" s="39">
        <v>-16.264285714285709</v>
      </c>
      <c r="Q2" s="39">
        <v>217.73571428571427</v>
      </c>
      <c r="R2" s="40">
        <v>13.264285714285718</v>
      </c>
      <c r="S2" s="52">
        <v>1</v>
      </c>
    </row>
    <row r="3" spans="1:19" x14ac:dyDescent="0.2">
      <c r="A3" s="41">
        <v>2</v>
      </c>
      <c r="B3" s="49" t="s">
        <v>72</v>
      </c>
      <c r="C3" s="42">
        <v>431</v>
      </c>
      <c r="D3" s="42">
        <v>265</v>
      </c>
      <c r="E3" s="42">
        <v>-221.5</v>
      </c>
      <c r="F3" s="42">
        <v>-1441</v>
      </c>
      <c r="G3" s="42">
        <v>-235.36190476190475</v>
      </c>
      <c r="H3" s="42">
        <v>-55.5</v>
      </c>
      <c r="I3" s="42">
        <v>684</v>
      </c>
      <c r="J3" s="42">
        <v>452.75</v>
      </c>
      <c r="K3" s="42">
        <v>-21.75</v>
      </c>
      <c r="L3" s="42">
        <v>231.25</v>
      </c>
      <c r="M3" s="42">
        <v>33.75</v>
      </c>
      <c r="N3" s="42">
        <v>-69.361904761904754</v>
      </c>
      <c r="O3" s="42">
        <v>459.68095238095236</v>
      </c>
      <c r="P3" s="42">
        <v>-28.680952380952373</v>
      </c>
      <c r="Q3" s="42">
        <v>224.31904761904761</v>
      </c>
      <c r="R3" s="42">
        <v>40.680952380952377</v>
      </c>
      <c r="S3" s="36">
        <v>1</v>
      </c>
    </row>
    <row r="4" spans="1:19" x14ac:dyDescent="0.2">
      <c r="A4" s="43">
        <v>3</v>
      </c>
      <c r="B4" s="50" t="s">
        <v>187</v>
      </c>
      <c r="C4" s="44">
        <v>478</v>
      </c>
      <c r="D4" s="44">
        <v>163</v>
      </c>
      <c r="E4" s="44">
        <v>-183.5</v>
      </c>
      <c r="F4" s="44">
        <v>-1340</v>
      </c>
      <c r="G4" s="44">
        <v>-194.3857142857143</v>
      </c>
      <c r="H4" s="44">
        <v>131.5</v>
      </c>
      <c r="I4" s="44">
        <v>566.5</v>
      </c>
      <c r="J4" s="44">
        <v>375</v>
      </c>
      <c r="K4" s="44">
        <v>103</v>
      </c>
      <c r="L4" s="44">
        <v>191.5</v>
      </c>
      <c r="M4" s="44">
        <v>-28.5</v>
      </c>
      <c r="N4" s="44">
        <v>120.6142857142857</v>
      </c>
      <c r="O4" s="44">
        <v>380.44285714285718</v>
      </c>
      <c r="P4" s="44">
        <v>97.55714285714285</v>
      </c>
      <c r="Q4" s="44">
        <v>186.05714285714288</v>
      </c>
      <c r="R4" s="44">
        <v>-23.057142857142853</v>
      </c>
      <c r="S4" s="32">
        <v>1</v>
      </c>
    </row>
    <row r="5" spans="1:19" x14ac:dyDescent="0.2">
      <c r="A5" s="41">
        <v>4</v>
      </c>
      <c r="B5" s="49" t="s">
        <v>46</v>
      </c>
      <c r="C5" s="42">
        <v>437</v>
      </c>
      <c r="D5" s="42">
        <v>152</v>
      </c>
      <c r="E5" s="42">
        <v>-278</v>
      </c>
      <c r="F5" s="42">
        <v>-1435</v>
      </c>
      <c r="G5" s="42">
        <v>-293.20476190476194</v>
      </c>
      <c r="H5" s="42">
        <v>7</v>
      </c>
      <c r="I5" s="42">
        <v>682</v>
      </c>
      <c r="J5" s="42">
        <v>480</v>
      </c>
      <c r="K5" s="42">
        <v>-43</v>
      </c>
      <c r="L5" s="42">
        <v>202</v>
      </c>
      <c r="M5" s="42">
        <v>-50</v>
      </c>
      <c r="N5" s="42">
        <v>-8.2047619047619094</v>
      </c>
      <c r="O5" s="42">
        <v>487.60238095238094</v>
      </c>
      <c r="P5" s="42">
        <v>-50.602380952380962</v>
      </c>
      <c r="Q5" s="42">
        <v>194.397619047619</v>
      </c>
      <c r="R5" s="42">
        <v>-42.397619047619038</v>
      </c>
      <c r="S5" s="36">
        <v>1</v>
      </c>
    </row>
    <row r="6" spans="1:19" x14ac:dyDescent="0.2">
      <c r="A6" s="43">
        <v>5</v>
      </c>
      <c r="B6" s="50" t="s">
        <v>37</v>
      </c>
      <c r="C6" s="44">
        <v>437</v>
      </c>
      <c r="D6" s="44">
        <v>213</v>
      </c>
      <c r="E6" s="44">
        <v>-225</v>
      </c>
      <c r="F6" s="44">
        <v>-1426</v>
      </c>
      <c r="G6" s="44">
        <v>-237.81904761904761</v>
      </c>
      <c r="H6" s="44">
        <v>-1</v>
      </c>
      <c r="I6" s="44">
        <v>647.5</v>
      </c>
      <c r="J6" s="44">
        <v>436.25</v>
      </c>
      <c r="K6" s="44">
        <v>0.75</v>
      </c>
      <c r="L6" s="44">
        <v>211.25</v>
      </c>
      <c r="M6" s="44">
        <v>1.75</v>
      </c>
      <c r="N6" s="44">
        <v>-13.819047619047623</v>
      </c>
      <c r="O6" s="44">
        <v>442.65952380952376</v>
      </c>
      <c r="P6" s="44">
        <v>-5.6595238095238045</v>
      </c>
      <c r="Q6" s="44">
        <v>204.84047619047618</v>
      </c>
      <c r="R6" s="44">
        <v>8.1595238095238116</v>
      </c>
      <c r="S6" s="32">
        <v>1</v>
      </c>
    </row>
    <row r="7" spans="1:19" x14ac:dyDescent="0.2">
      <c r="A7" s="41">
        <v>6</v>
      </c>
      <c r="B7" s="49" t="s">
        <v>19</v>
      </c>
      <c r="C7" s="42">
        <v>426</v>
      </c>
      <c r="D7" s="42">
        <v>131</v>
      </c>
      <c r="E7" s="42">
        <v>-293.5</v>
      </c>
      <c r="F7" s="42">
        <v>-1330</v>
      </c>
      <c r="G7" s="42">
        <v>-310.18095238095231</v>
      </c>
      <c r="H7" s="42">
        <v>1.5</v>
      </c>
      <c r="I7" s="42">
        <v>603.5</v>
      </c>
      <c r="J7" s="42">
        <v>448.5</v>
      </c>
      <c r="K7" s="42">
        <v>-22.5</v>
      </c>
      <c r="L7" s="42">
        <v>155</v>
      </c>
      <c r="M7" s="42">
        <v>-24</v>
      </c>
      <c r="N7" s="42">
        <v>-15.18095238095238</v>
      </c>
      <c r="O7" s="42">
        <v>456.84047619047618</v>
      </c>
      <c r="P7" s="42">
        <v>-30.840476190476185</v>
      </c>
      <c r="Q7" s="42">
        <v>146.65952380952385</v>
      </c>
      <c r="R7" s="42">
        <v>-15.659523809523808</v>
      </c>
      <c r="S7" s="36">
        <v>1</v>
      </c>
    </row>
    <row r="8" spans="1:19" x14ac:dyDescent="0.2">
      <c r="A8" s="43">
        <v>7</v>
      </c>
      <c r="B8" s="50" t="s">
        <v>49</v>
      </c>
      <c r="C8" s="44">
        <v>447</v>
      </c>
      <c r="D8" s="44">
        <v>167</v>
      </c>
      <c r="E8" s="44">
        <v>-212.5</v>
      </c>
      <c r="F8" s="44">
        <v>-1318</v>
      </c>
      <c r="G8" s="44">
        <v>-223.43809523809526</v>
      </c>
      <c r="H8" s="44">
        <v>67.5</v>
      </c>
      <c r="I8" s="44">
        <v>660</v>
      </c>
      <c r="J8" s="44">
        <v>436.25</v>
      </c>
      <c r="K8" s="44">
        <v>10.75</v>
      </c>
      <c r="L8" s="44">
        <v>223.75</v>
      </c>
      <c r="M8" s="44">
        <v>-56.75</v>
      </c>
      <c r="N8" s="44">
        <v>56.561904761904763</v>
      </c>
      <c r="O8" s="44">
        <v>441.71904761904761</v>
      </c>
      <c r="P8" s="44">
        <v>5.2809523809523782</v>
      </c>
      <c r="Q8" s="44">
        <v>218.28095238095239</v>
      </c>
      <c r="R8" s="44">
        <v>-51.280952380952385</v>
      </c>
      <c r="S8" s="32">
        <v>1</v>
      </c>
    </row>
    <row r="9" spans="1:19" x14ac:dyDescent="0.2">
      <c r="A9" s="41">
        <v>8</v>
      </c>
      <c r="B9" s="49" t="s">
        <v>33</v>
      </c>
      <c r="C9" s="42">
        <v>508</v>
      </c>
      <c r="D9" s="42">
        <v>285</v>
      </c>
      <c r="E9" s="42">
        <v>-203.5</v>
      </c>
      <c r="F9" s="42">
        <v>-1440</v>
      </c>
      <c r="G9" s="42">
        <v>-214.00476190476192</v>
      </c>
      <c r="H9" s="42">
        <v>19.5</v>
      </c>
      <c r="I9" s="42">
        <v>794</v>
      </c>
      <c r="J9" s="42">
        <v>498.75</v>
      </c>
      <c r="K9" s="42">
        <v>9.25</v>
      </c>
      <c r="L9" s="42">
        <v>295.25</v>
      </c>
      <c r="M9" s="42">
        <v>-10.25</v>
      </c>
      <c r="N9" s="42">
        <v>8.9952380952380899</v>
      </c>
      <c r="O9" s="42">
        <v>504.00238095238086</v>
      </c>
      <c r="P9" s="42">
        <v>3.9976190476190467</v>
      </c>
      <c r="Q9" s="42">
        <v>289.99761904761908</v>
      </c>
      <c r="R9" s="42">
        <v>-4.9976190476190467</v>
      </c>
      <c r="S9" s="36">
        <v>1</v>
      </c>
    </row>
    <row r="10" spans="1:19" x14ac:dyDescent="0.2">
      <c r="A10" s="43">
        <v>9</v>
      </c>
      <c r="B10" s="50" t="s">
        <v>86</v>
      </c>
      <c r="C10" s="44">
        <v>520</v>
      </c>
      <c r="D10" s="44">
        <v>176</v>
      </c>
      <c r="E10" s="44">
        <v>-175.5</v>
      </c>
      <c r="F10" s="44">
        <v>-1315</v>
      </c>
      <c r="G10" s="44">
        <v>-182.94761904761907</v>
      </c>
      <c r="H10" s="44">
        <v>168.5</v>
      </c>
      <c r="I10" s="44">
        <v>606.5</v>
      </c>
      <c r="J10" s="44">
        <v>391</v>
      </c>
      <c r="K10" s="44">
        <v>129</v>
      </c>
      <c r="L10" s="44">
        <v>215.5</v>
      </c>
      <c r="M10" s="44">
        <v>-39.5</v>
      </c>
      <c r="N10" s="44">
        <v>161.05238095238093</v>
      </c>
      <c r="O10" s="44">
        <v>394.72380952380956</v>
      </c>
      <c r="P10" s="44">
        <v>125.27619047619046</v>
      </c>
      <c r="Q10" s="44">
        <v>211.77619047619044</v>
      </c>
      <c r="R10" s="44">
        <v>-35.776190476190472</v>
      </c>
      <c r="S10" s="32">
        <v>1</v>
      </c>
    </row>
    <row r="11" spans="1:19" x14ac:dyDescent="0.2">
      <c r="A11" s="41">
        <v>10</v>
      </c>
      <c r="B11" s="49" t="s">
        <v>217</v>
      </c>
      <c r="C11" s="42">
        <v>430</v>
      </c>
      <c r="D11" s="42">
        <v>277</v>
      </c>
      <c r="E11" s="42">
        <v>-5</v>
      </c>
      <c r="F11" s="42">
        <v>-1437</v>
      </c>
      <c r="G11" s="42">
        <v>-4.9333333333333336</v>
      </c>
      <c r="H11" s="42">
        <v>148</v>
      </c>
      <c r="I11" s="42">
        <v>688</v>
      </c>
      <c r="J11" s="42">
        <v>346.5</v>
      </c>
      <c r="K11" s="42">
        <v>83.5</v>
      </c>
      <c r="L11" s="42">
        <v>341.5</v>
      </c>
      <c r="M11" s="42">
        <v>-64.5</v>
      </c>
      <c r="N11" s="42">
        <v>148.06666666666666</v>
      </c>
      <c r="O11" s="42">
        <v>346.4666666666667</v>
      </c>
      <c r="P11" s="42">
        <v>83.533333333333331</v>
      </c>
      <c r="Q11" s="42">
        <v>341.5333333333333</v>
      </c>
      <c r="R11" s="42">
        <v>-64.533333333333331</v>
      </c>
      <c r="S11" s="36">
        <v>1</v>
      </c>
    </row>
    <row r="12" spans="1:19" x14ac:dyDescent="0.2">
      <c r="A12" s="43">
        <v>11</v>
      </c>
      <c r="B12" s="50" t="s">
        <v>43</v>
      </c>
      <c r="C12" s="44">
        <v>426</v>
      </c>
      <c r="D12" s="44">
        <v>207</v>
      </c>
      <c r="E12" s="44">
        <v>-210.5</v>
      </c>
      <c r="F12" s="44">
        <v>-1314</v>
      </c>
      <c r="G12" s="44">
        <v>-221.21904761904761</v>
      </c>
      <c r="H12" s="44">
        <v>8.5</v>
      </c>
      <c r="I12" s="44">
        <v>650</v>
      </c>
      <c r="J12" s="44">
        <v>430.25</v>
      </c>
      <c r="K12" s="44">
        <v>-4.25</v>
      </c>
      <c r="L12" s="44">
        <v>219.75</v>
      </c>
      <c r="M12" s="44">
        <v>-12.75</v>
      </c>
      <c r="N12" s="44">
        <v>-2.2190476190476129</v>
      </c>
      <c r="O12" s="44">
        <v>435.60952380952375</v>
      </c>
      <c r="P12" s="44">
        <v>-9.6095238095238038</v>
      </c>
      <c r="Q12" s="44">
        <v>214.39047619047619</v>
      </c>
      <c r="R12" s="44">
        <v>-7.3904761904761997</v>
      </c>
      <c r="S12" s="32">
        <v>0</v>
      </c>
    </row>
    <row r="13" spans="1:19" s="37" customFormat="1" x14ac:dyDescent="0.2">
      <c r="A13" s="45">
        <v>12</v>
      </c>
      <c r="B13" s="51" t="s">
        <v>150</v>
      </c>
      <c r="C13" s="46">
        <v>501</v>
      </c>
      <c r="D13" s="46">
        <v>271</v>
      </c>
      <c r="E13" s="46">
        <v>-169</v>
      </c>
      <c r="F13" s="46">
        <v>-1443</v>
      </c>
      <c r="G13" s="46">
        <v>-179.96190476190478</v>
      </c>
      <c r="H13" s="46">
        <v>61</v>
      </c>
      <c r="I13" s="46">
        <v>713</v>
      </c>
      <c r="J13" s="46">
        <v>441</v>
      </c>
      <c r="K13" s="46">
        <v>60</v>
      </c>
      <c r="L13" s="46">
        <v>272</v>
      </c>
      <c r="M13" s="46">
        <v>-1</v>
      </c>
      <c r="N13" s="46">
        <v>50.038095238095238</v>
      </c>
      <c r="O13" s="46">
        <v>446.48095238095237</v>
      </c>
      <c r="P13" s="46">
        <v>54.519047619047619</v>
      </c>
      <c r="Q13" s="46">
        <v>266.51904761904763</v>
      </c>
      <c r="R13" s="46">
        <v>4.480952380952381</v>
      </c>
      <c r="S13" s="36">
        <v>1</v>
      </c>
    </row>
    <row r="14" spans="1:19" x14ac:dyDescent="0.2">
      <c r="A14" s="41">
        <v>13</v>
      </c>
      <c r="B14" s="49" t="s">
        <v>40</v>
      </c>
      <c r="C14" s="42">
        <v>462</v>
      </c>
      <c r="D14" s="42">
        <v>290</v>
      </c>
      <c r="E14" s="42">
        <v>-183</v>
      </c>
      <c r="F14" s="42">
        <v>-1442</v>
      </c>
      <c r="G14" s="42">
        <v>-194.48095238095235</v>
      </c>
      <c r="H14" s="42">
        <v>-11</v>
      </c>
      <c r="I14" s="42">
        <v>703.5</v>
      </c>
      <c r="J14" s="42">
        <v>443.25</v>
      </c>
      <c r="K14" s="42">
        <v>18.75</v>
      </c>
      <c r="L14" s="42">
        <v>260.25</v>
      </c>
      <c r="M14" s="42">
        <v>29.75</v>
      </c>
      <c r="N14" s="42">
        <v>-22.480952380952381</v>
      </c>
      <c r="O14" s="42">
        <v>448.99047619047627</v>
      </c>
      <c r="P14" s="42">
        <v>13.009523809523824</v>
      </c>
      <c r="Q14" s="42">
        <v>254.50952380952381</v>
      </c>
      <c r="R14" s="42">
        <v>35.49047619047618</v>
      </c>
      <c r="S14" s="32">
        <v>1</v>
      </c>
    </row>
    <row r="15" spans="1:19" x14ac:dyDescent="0.2">
      <c r="A15" s="41">
        <v>14</v>
      </c>
      <c r="B15" s="49" t="s">
        <v>131</v>
      </c>
      <c r="C15" s="42">
        <v>379</v>
      </c>
      <c r="D15" s="42">
        <v>214</v>
      </c>
      <c r="E15" s="42">
        <v>-52.5</v>
      </c>
      <c r="F15" s="42">
        <v>-1319</v>
      </c>
      <c r="G15" s="42">
        <v>-54.176190476190484</v>
      </c>
      <c r="H15" s="42">
        <v>112.5</v>
      </c>
      <c r="I15" s="42">
        <v>555</v>
      </c>
      <c r="J15" s="42">
        <v>303.75</v>
      </c>
      <c r="K15" s="42">
        <v>75.25</v>
      </c>
      <c r="L15" s="42">
        <v>251.25</v>
      </c>
      <c r="M15" s="42">
        <v>-37.25</v>
      </c>
      <c r="N15" s="42">
        <v>110.8238095238095</v>
      </c>
      <c r="O15" s="42">
        <v>304.58809523809526</v>
      </c>
      <c r="P15" s="42">
        <v>74.411904761904751</v>
      </c>
      <c r="Q15" s="42">
        <v>250.41190476190474</v>
      </c>
      <c r="R15" s="42">
        <v>-36.411904761904751</v>
      </c>
      <c r="S15" s="36">
        <v>0</v>
      </c>
    </row>
    <row r="16" spans="1:19" x14ac:dyDescent="0.2">
      <c r="A16" s="43">
        <v>15</v>
      </c>
      <c r="B16" s="50" t="s">
        <v>203</v>
      </c>
      <c r="C16" s="44">
        <v>530</v>
      </c>
      <c r="D16" s="44">
        <v>287</v>
      </c>
      <c r="E16" s="44">
        <v>-224</v>
      </c>
      <c r="F16" s="44">
        <v>-1320</v>
      </c>
      <c r="G16" s="44">
        <v>-234.73333333333335</v>
      </c>
      <c r="H16" s="44">
        <v>19</v>
      </c>
      <c r="I16" s="44">
        <v>711</v>
      </c>
      <c r="J16" s="44">
        <v>467.5</v>
      </c>
      <c r="K16" s="44">
        <v>62.5</v>
      </c>
      <c r="L16" s="44">
        <v>243.5</v>
      </c>
      <c r="M16" s="44">
        <v>43.5</v>
      </c>
      <c r="N16" s="44">
        <v>8.2666666666666586</v>
      </c>
      <c r="O16" s="44">
        <v>472.86666666666667</v>
      </c>
      <c r="P16" s="44">
        <v>57.133333333333333</v>
      </c>
      <c r="Q16" s="44">
        <v>238.13333333333335</v>
      </c>
      <c r="R16" s="44">
        <v>48.866666666666674</v>
      </c>
      <c r="S16" s="32">
        <v>0</v>
      </c>
    </row>
    <row r="17" spans="1:19" x14ac:dyDescent="0.2">
      <c r="A17" s="41">
        <v>16</v>
      </c>
      <c r="B17" s="49" t="s">
        <v>48</v>
      </c>
      <c r="C17" s="42">
        <v>450</v>
      </c>
      <c r="D17" s="42">
        <v>167</v>
      </c>
      <c r="E17" s="42">
        <v>-238.5</v>
      </c>
      <c r="F17" s="42">
        <v>-1323</v>
      </c>
      <c r="G17" s="42">
        <v>-252.02380952380958</v>
      </c>
      <c r="H17" s="42">
        <v>44.5</v>
      </c>
      <c r="I17" s="42">
        <v>704</v>
      </c>
      <c r="J17" s="42">
        <v>471.25</v>
      </c>
      <c r="K17" s="42">
        <v>-21.25</v>
      </c>
      <c r="L17" s="42">
        <v>232.75</v>
      </c>
      <c r="M17" s="42">
        <v>-65.75</v>
      </c>
      <c r="N17" s="42">
        <v>30.976190476190482</v>
      </c>
      <c r="O17" s="42">
        <v>478.01190476190482</v>
      </c>
      <c r="P17" s="42">
        <v>-28.011904761904763</v>
      </c>
      <c r="Q17" s="42">
        <v>225.98809523809521</v>
      </c>
      <c r="R17" s="42">
        <v>-58.988095238095241</v>
      </c>
      <c r="S17" s="36">
        <v>0</v>
      </c>
    </row>
    <row r="18" spans="1:19" x14ac:dyDescent="0.2">
      <c r="A18" s="43">
        <v>17</v>
      </c>
      <c r="B18" s="50" t="s">
        <v>122</v>
      </c>
      <c r="C18" s="44">
        <v>369</v>
      </c>
      <c r="D18" s="44">
        <v>241</v>
      </c>
      <c r="E18" s="44">
        <v>-26.5</v>
      </c>
      <c r="F18" s="44">
        <v>-1337</v>
      </c>
      <c r="G18" s="44">
        <v>-28.214285714285715</v>
      </c>
      <c r="H18" s="44">
        <v>101.5</v>
      </c>
      <c r="I18" s="44">
        <v>582.5</v>
      </c>
      <c r="J18" s="44">
        <v>304.5</v>
      </c>
      <c r="K18" s="44">
        <v>64.5</v>
      </c>
      <c r="L18" s="44">
        <v>278</v>
      </c>
      <c r="M18" s="44">
        <v>-37</v>
      </c>
      <c r="N18" s="44">
        <v>99.785714285714292</v>
      </c>
      <c r="O18" s="44">
        <v>305.35714285714289</v>
      </c>
      <c r="P18" s="44">
        <v>63.642857142857139</v>
      </c>
      <c r="Q18" s="44">
        <v>277.14285714285711</v>
      </c>
      <c r="R18" s="44">
        <v>-36.142857142857153</v>
      </c>
      <c r="S18" s="32">
        <v>0</v>
      </c>
    </row>
    <row r="19" spans="1:19" x14ac:dyDescent="0.2">
      <c r="A19" s="41">
        <v>18</v>
      </c>
      <c r="B19" s="49" t="s">
        <v>124</v>
      </c>
      <c r="C19" s="42">
        <v>393</v>
      </c>
      <c r="D19" s="42">
        <v>280</v>
      </c>
      <c r="E19" s="42">
        <v>-126</v>
      </c>
      <c r="F19" s="42">
        <v>-1440</v>
      </c>
      <c r="G19" s="42">
        <v>-134.00952380952381</v>
      </c>
      <c r="H19" s="42">
        <v>-13</v>
      </c>
      <c r="I19" s="42">
        <v>635</v>
      </c>
      <c r="J19" s="42">
        <v>380.5</v>
      </c>
      <c r="K19" s="42">
        <v>12.5</v>
      </c>
      <c r="L19" s="42">
        <v>254.5</v>
      </c>
      <c r="M19" s="42">
        <v>25.5</v>
      </c>
      <c r="N19" s="42">
        <v>-21.009523809523817</v>
      </c>
      <c r="O19" s="42">
        <v>384.50476190476189</v>
      </c>
      <c r="P19" s="42">
        <v>8.4952380952380935</v>
      </c>
      <c r="Q19" s="42">
        <v>250.49523809523811</v>
      </c>
      <c r="R19" s="42">
        <v>29.50476190476191</v>
      </c>
      <c r="S19" s="36">
        <v>0</v>
      </c>
    </row>
    <row r="20" spans="1:19" x14ac:dyDescent="0.2">
      <c r="A20" s="43">
        <v>19</v>
      </c>
      <c r="B20" s="50" t="s">
        <v>64</v>
      </c>
      <c r="C20" s="44">
        <v>395</v>
      </c>
      <c r="D20" s="44">
        <v>180</v>
      </c>
      <c r="E20" s="44">
        <v>-119.5</v>
      </c>
      <c r="F20" s="44">
        <v>-1330</v>
      </c>
      <c r="G20" s="44">
        <v>-124.62380952380953</v>
      </c>
      <c r="H20" s="44">
        <v>95.5</v>
      </c>
      <c r="I20" s="44">
        <v>590</v>
      </c>
      <c r="J20" s="44">
        <v>354.75</v>
      </c>
      <c r="K20" s="44">
        <v>40.25</v>
      </c>
      <c r="L20" s="44">
        <v>235.25</v>
      </c>
      <c r="M20" s="44">
        <v>-55.25</v>
      </c>
      <c r="N20" s="44">
        <v>90.376190476190487</v>
      </c>
      <c r="O20" s="44">
        <v>357.31190476190477</v>
      </c>
      <c r="P20" s="44">
        <v>37.688095238095229</v>
      </c>
      <c r="Q20" s="44">
        <v>232.68809523809526</v>
      </c>
      <c r="R20" s="44">
        <v>-52.688095238095244</v>
      </c>
      <c r="S20" s="32">
        <v>0</v>
      </c>
    </row>
    <row r="21" spans="1:19" x14ac:dyDescent="0.2">
      <c r="A21" s="41">
        <v>20</v>
      </c>
      <c r="B21" s="49" t="s">
        <v>218</v>
      </c>
      <c r="C21" s="42">
        <v>414</v>
      </c>
      <c r="D21" s="42">
        <v>264</v>
      </c>
      <c r="E21" s="42">
        <v>-36</v>
      </c>
      <c r="F21" s="42">
        <v>-1107</v>
      </c>
      <c r="G21" s="42">
        <v>-45.166666666666664</v>
      </c>
      <c r="H21" s="42">
        <v>114</v>
      </c>
      <c r="I21" s="42">
        <v>685.5</v>
      </c>
      <c r="J21" s="42">
        <v>360.75</v>
      </c>
      <c r="K21" s="42">
        <v>53.25</v>
      </c>
      <c r="L21" s="42">
        <v>324.75</v>
      </c>
      <c r="M21" s="42">
        <v>-60.75</v>
      </c>
      <c r="N21" s="42">
        <v>104.83333333333333</v>
      </c>
      <c r="O21" s="42">
        <v>365.33333333333331</v>
      </c>
      <c r="P21" s="42">
        <v>48.666666666666664</v>
      </c>
      <c r="Q21" s="42">
        <v>320.16666666666669</v>
      </c>
      <c r="R21" s="42">
        <v>-56.166666666666671</v>
      </c>
      <c r="S21" s="36">
        <v>0</v>
      </c>
    </row>
    <row r="22" spans="1:19" x14ac:dyDescent="0.2">
      <c r="A22" s="43">
        <v>21</v>
      </c>
      <c r="B22" s="50" t="s">
        <v>15</v>
      </c>
      <c r="C22" s="44">
        <v>347</v>
      </c>
      <c r="D22" s="44">
        <v>265</v>
      </c>
      <c r="E22" s="44">
        <v>-15.5</v>
      </c>
      <c r="F22" s="44">
        <v>-1317</v>
      </c>
      <c r="G22" s="44">
        <v>-14.900000000000007</v>
      </c>
      <c r="H22" s="44">
        <v>66.5</v>
      </c>
      <c r="I22" s="44">
        <v>582</v>
      </c>
      <c r="J22" s="44">
        <v>298.75</v>
      </c>
      <c r="K22" s="44">
        <v>48.25</v>
      </c>
      <c r="L22" s="44">
        <v>283.25</v>
      </c>
      <c r="M22" s="44">
        <v>-18.25</v>
      </c>
      <c r="N22" s="44">
        <v>67.099999999999994</v>
      </c>
      <c r="O22" s="44">
        <v>298.45</v>
      </c>
      <c r="P22" s="44">
        <v>48.55</v>
      </c>
      <c r="Q22" s="44">
        <v>283.55</v>
      </c>
      <c r="R22" s="44">
        <v>-18.549999999999997</v>
      </c>
      <c r="S22" s="32">
        <v>0</v>
      </c>
    </row>
    <row r="23" spans="1:19" x14ac:dyDescent="0.2">
      <c r="A23" s="41">
        <v>22</v>
      </c>
      <c r="B23" s="49" t="s">
        <v>160</v>
      </c>
      <c r="C23" s="42">
        <v>391</v>
      </c>
      <c r="D23" s="42">
        <v>344</v>
      </c>
      <c r="E23" s="42">
        <v>-26</v>
      </c>
      <c r="F23" s="42">
        <v>-1335</v>
      </c>
      <c r="G23" s="42">
        <v>-27.595238095238084</v>
      </c>
      <c r="H23" s="42">
        <v>21</v>
      </c>
      <c r="I23" s="42">
        <v>674</v>
      </c>
      <c r="J23" s="42">
        <v>350</v>
      </c>
      <c r="K23" s="42">
        <v>41</v>
      </c>
      <c r="L23" s="42">
        <v>324</v>
      </c>
      <c r="M23" s="42">
        <v>20</v>
      </c>
      <c r="N23" s="42">
        <v>19.404761904761912</v>
      </c>
      <c r="O23" s="42">
        <v>350.79761904761904</v>
      </c>
      <c r="P23" s="42">
        <v>40.202380952380949</v>
      </c>
      <c r="Q23" s="42">
        <v>323.20238095238096</v>
      </c>
      <c r="R23" s="42">
        <v>20.797619047619051</v>
      </c>
      <c r="S23" s="36">
        <v>0</v>
      </c>
    </row>
    <row r="24" spans="1:19" x14ac:dyDescent="0.2">
      <c r="A24" s="43">
        <v>23</v>
      </c>
      <c r="B24" s="50" t="s">
        <v>132</v>
      </c>
      <c r="C24" s="44">
        <v>349</v>
      </c>
      <c r="D24" s="44">
        <v>241</v>
      </c>
      <c r="E24" s="44">
        <v>-125.5</v>
      </c>
      <c r="F24" s="44">
        <v>-1308</v>
      </c>
      <c r="G24" s="44">
        <v>-131.2714285714286</v>
      </c>
      <c r="H24" s="44">
        <v>-17.5</v>
      </c>
      <c r="I24" s="44">
        <v>614</v>
      </c>
      <c r="J24" s="44">
        <v>369.75</v>
      </c>
      <c r="K24" s="44">
        <v>-20.75</v>
      </c>
      <c r="L24" s="44">
        <v>244.25</v>
      </c>
      <c r="M24" s="44">
        <v>-3.25</v>
      </c>
      <c r="N24" s="44">
        <v>-23.271428571428572</v>
      </c>
      <c r="O24" s="44">
        <v>372.63571428571436</v>
      </c>
      <c r="P24" s="44">
        <v>-23.635714285714275</v>
      </c>
      <c r="Q24" s="44">
        <v>241.36428571428567</v>
      </c>
      <c r="R24" s="44">
        <v>-0.36428571428571388</v>
      </c>
      <c r="S24" s="32">
        <v>0</v>
      </c>
    </row>
    <row r="25" spans="1:19" x14ac:dyDescent="0.2">
      <c r="A25" s="41">
        <v>24</v>
      </c>
      <c r="B25" s="49" t="s">
        <v>100</v>
      </c>
      <c r="C25" s="42">
        <v>471</v>
      </c>
      <c r="D25" s="42">
        <v>285</v>
      </c>
      <c r="E25" s="42">
        <v>-113.5</v>
      </c>
      <c r="F25" s="42">
        <v>-1443</v>
      </c>
      <c r="G25" s="42">
        <v>-119.18095238095239</v>
      </c>
      <c r="H25" s="42">
        <v>72.5</v>
      </c>
      <c r="I25" s="42">
        <v>743.5</v>
      </c>
      <c r="J25" s="42">
        <v>428.5</v>
      </c>
      <c r="K25" s="42">
        <v>42.5</v>
      </c>
      <c r="L25" s="42">
        <v>315</v>
      </c>
      <c r="M25" s="42">
        <v>-30</v>
      </c>
      <c r="N25" s="42">
        <v>66.819047619047609</v>
      </c>
      <c r="O25" s="42">
        <v>431.34047619047624</v>
      </c>
      <c r="P25" s="42">
        <v>39.659523809523805</v>
      </c>
      <c r="Q25" s="42">
        <v>312.15952380952388</v>
      </c>
      <c r="R25" s="42">
        <v>-27.159523809523797</v>
      </c>
      <c r="S25" s="36">
        <v>0</v>
      </c>
    </row>
    <row r="26" spans="1:19" x14ac:dyDescent="0.2">
      <c r="A26" s="43">
        <v>25</v>
      </c>
      <c r="B26" s="50" t="s">
        <v>219</v>
      </c>
      <c r="C26" s="44">
        <v>422</v>
      </c>
      <c r="D26" s="44">
        <v>273</v>
      </c>
      <c r="E26" s="44">
        <v>-140.5</v>
      </c>
      <c r="F26" s="44">
        <v>-1327</v>
      </c>
      <c r="G26" s="44">
        <v>-147.81428571428572</v>
      </c>
      <c r="H26" s="44">
        <v>8.5</v>
      </c>
      <c r="I26" s="44">
        <v>695.5</v>
      </c>
      <c r="J26" s="44">
        <v>418</v>
      </c>
      <c r="K26" s="44">
        <v>4</v>
      </c>
      <c r="L26" s="44">
        <v>277.5</v>
      </c>
      <c r="M26" s="44">
        <v>-4.5</v>
      </c>
      <c r="N26" s="44">
        <v>1.1857142857142797</v>
      </c>
      <c r="O26" s="44">
        <v>421.6571428571429</v>
      </c>
      <c r="P26" s="44">
        <v>0.34285714285714519</v>
      </c>
      <c r="Q26" s="44">
        <v>273.84285714285716</v>
      </c>
      <c r="R26" s="44">
        <v>-0.84285714285714519</v>
      </c>
      <c r="S26" s="3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25B3-609B-FF43-80DA-FAB70E515915}">
  <dimension ref="A1:S26"/>
  <sheetViews>
    <sheetView workbookViewId="0">
      <selection activeCell="U14" sqref="U14"/>
    </sheetView>
  </sheetViews>
  <sheetFormatPr baseColWidth="10" defaultRowHeight="16" x14ac:dyDescent="0.2"/>
  <cols>
    <col min="1" max="1" width="6" bestFit="1" customWidth="1"/>
    <col min="2" max="2" width="13.1640625" bestFit="1" customWidth="1"/>
    <col min="3" max="3" width="16.1640625" bestFit="1" customWidth="1"/>
    <col min="4" max="4" width="16.5" bestFit="1" customWidth="1"/>
    <col min="5" max="5" width="19.5" bestFit="1" customWidth="1"/>
    <col min="6" max="6" width="17.83203125" bestFit="1" customWidth="1"/>
    <col min="7" max="7" width="17.5" bestFit="1" customWidth="1"/>
    <col min="8" max="8" width="37.33203125" bestFit="1" customWidth="1"/>
    <col min="9" max="9" width="11.5" bestFit="1" customWidth="1"/>
    <col min="10" max="10" width="26.1640625" bestFit="1" customWidth="1"/>
    <col min="11" max="11" width="35" bestFit="1" customWidth="1"/>
    <col min="12" max="12" width="25.6640625" bestFit="1" customWidth="1"/>
    <col min="13" max="13" width="38.6640625" bestFit="1" customWidth="1"/>
    <col min="14" max="14" width="35.5" bestFit="1" customWidth="1"/>
    <col min="15" max="15" width="24.33203125" bestFit="1" customWidth="1"/>
    <col min="16" max="16" width="33" bestFit="1" customWidth="1"/>
    <col min="17" max="17" width="24.33203125" bestFit="1" customWidth="1"/>
    <col min="18" max="18" width="35.83203125" bestFit="1" customWidth="1"/>
    <col min="19" max="19" width="9.5" bestFit="1" customWidth="1"/>
  </cols>
  <sheetData>
    <row r="1" spans="1:19" ht="17" thickBot="1" x14ac:dyDescent="0.25">
      <c r="A1" s="33" t="s">
        <v>220</v>
      </c>
      <c r="B1" s="22" t="s">
        <v>216</v>
      </c>
      <c r="C1" s="23" t="s">
        <v>224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225</v>
      </c>
      <c r="J1" s="23" t="s">
        <v>243</v>
      </c>
      <c r="K1" s="23" t="s">
        <v>244</v>
      </c>
      <c r="L1" s="23" t="s">
        <v>245</v>
      </c>
      <c r="M1" s="23" t="s">
        <v>246</v>
      </c>
      <c r="N1" s="23" t="s">
        <v>247</v>
      </c>
      <c r="O1" s="23" t="s">
        <v>248</v>
      </c>
      <c r="P1" s="23" t="s">
        <v>249</v>
      </c>
      <c r="Q1" s="23" t="s">
        <v>250</v>
      </c>
      <c r="R1" s="34" t="s">
        <v>251</v>
      </c>
      <c r="S1" s="23" t="s">
        <v>252</v>
      </c>
    </row>
    <row r="2" spans="1:19" x14ac:dyDescent="0.2">
      <c r="A2" s="38">
        <v>1</v>
      </c>
      <c r="B2" s="48" t="s">
        <v>24</v>
      </c>
      <c r="C2" s="47">
        <v>35.92307692307692</v>
      </c>
      <c r="D2" s="39">
        <v>17.76923076923077</v>
      </c>
      <c r="E2" s="39">
        <v>-19.423076923076923</v>
      </c>
      <c r="F2" s="39">
        <v>-110.53846153846153</v>
      </c>
      <c r="G2" s="39">
        <v>-20.425274725274729</v>
      </c>
      <c r="H2" s="39">
        <v>-1.2692307692307692</v>
      </c>
      <c r="I2" s="39">
        <v>53.92307692307692</v>
      </c>
      <c r="J2" s="39">
        <v>36.67307692307692</v>
      </c>
      <c r="K2" s="39">
        <v>-0.75</v>
      </c>
      <c r="L2" s="39">
        <v>17.25</v>
      </c>
      <c r="M2" s="39">
        <v>0.51923076923076927</v>
      </c>
      <c r="N2" s="39">
        <v>-2.2714285714285714</v>
      </c>
      <c r="O2" s="39">
        <v>37.174175824175826</v>
      </c>
      <c r="P2" s="39">
        <v>-1.2510989010989007</v>
      </c>
      <c r="Q2" s="39">
        <v>16.748901098901097</v>
      </c>
      <c r="R2" s="40">
        <v>1.0203296703296707</v>
      </c>
      <c r="S2" s="52">
        <v>1</v>
      </c>
    </row>
    <row r="3" spans="1:19" x14ac:dyDescent="0.2">
      <c r="A3" s="41">
        <v>2</v>
      </c>
      <c r="B3" s="49" t="s">
        <v>72</v>
      </c>
      <c r="C3" s="42">
        <v>33.153846153846153</v>
      </c>
      <c r="D3" s="42">
        <v>20.384615384615383</v>
      </c>
      <c r="E3" s="42">
        <v>-17.03846153846154</v>
      </c>
      <c r="F3" s="42">
        <v>-110.84615384615384</v>
      </c>
      <c r="G3" s="42">
        <v>-18.104761904761904</v>
      </c>
      <c r="H3" s="42">
        <v>-4.2692307692307692</v>
      </c>
      <c r="I3" s="42">
        <v>52.615384615384613</v>
      </c>
      <c r="J3" s="42">
        <v>34.82692307692308</v>
      </c>
      <c r="K3" s="42">
        <v>-1.6730769230769231</v>
      </c>
      <c r="L3" s="42">
        <v>17.78846153846154</v>
      </c>
      <c r="M3" s="42">
        <v>2.5961538461538463</v>
      </c>
      <c r="N3" s="42">
        <v>-5.3355311355311352</v>
      </c>
      <c r="O3" s="42">
        <v>35.360073260073257</v>
      </c>
      <c r="P3" s="42">
        <v>-2.2062271062271055</v>
      </c>
      <c r="Q3" s="42">
        <v>17.255311355311356</v>
      </c>
      <c r="R3" s="42">
        <v>3.1293040293040288</v>
      </c>
      <c r="S3" s="36">
        <v>1</v>
      </c>
    </row>
    <row r="4" spans="1:19" x14ac:dyDescent="0.2">
      <c r="A4" s="43">
        <v>3</v>
      </c>
      <c r="B4" s="50" t="s">
        <v>187</v>
      </c>
      <c r="C4" s="44">
        <v>39.833333333333336</v>
      </c>
      <c r="D4" s="44">
        <v>13.583333333333334</v>
      </c>
      <c r="E4" s="44">
        <v>-15.291666666666666</v>
      </c>
      <c r="F4" s="44">
        <v>-111.66666666666667</v>
      </c>
      <c r="G4" s="44">
        <v>-16.198809523809526</v>
      </c>
      <c r="H4" s="44">
        <v>10.958333333333334</v>
      </c>
      <c r="I4" s="44">
        <v>47.208333333333336</v>
      </c>
      <c r="J4" s="44">
        <v>31.25</v>
      </c>
      <c r="K4" s="44">
        <v>8.5833333333333339</v>
      </c>
      <c r="L4" s="44">
        <v>15.958333333333334</v>
      </c>
      <c r="M4" s="44">
        <v>-2.375</v>
      </c>
      <c r="N4" s="44">
        <v>10.051190476190476</v>
      </c>
      <c r="O4" s="44">
        <v>31.703571428571433</v>
      </c>
      <c r="P4" s="44">
        <v>8.1297619047619047</v>
      </c>
      <c r="Q4" s="44">
        <v>15.504761904761907</v>
      </c>
      <c r="R4" s="44">
        <v>-1.921428571428571</v>
      </c>
      <c r="S4" s="32">
        <v>1</v>
      </c>
    </row>
    <row r="5" spans="1:19" x14ac:dyDescent="0.2">
      <c r="A5" s="41">
        <v>4</v>
      </c>
      <c r="B5" s="49" t="s">
        <v>46</v>
      </c>
      <c r="C5" s="42">
        <v>33.615384615384613</v>
      </c>
      <c r="D5" s="42">
        <v>11.692307692307692</v>
      </c>
      <c r="E5" s="42">
        <v>-21.384615384615383</v>
      </c>
      <c r="F5" s="42">
        <v>-110.38461538461539</v>
      </c>
      <c r="G5" s="42">
        <v>-22.554212454212458</v>
      </c>
      <c r="H5" s="42">
        <v>0.53846153846153844</v>
      </c>
      <c r="I5" s="42">
        <v>52.46153846153846</v>
      </c>
      <c r="J5" s="42">
        <v>36.92307692307692</v>
      </c>
      <c r="K5" s="42">
        <v>-3.3076923076923075</v>
      </c>
      <c r="L5" s="42">
        <v>15.538461538461538</v>
      </c>
      <c r="M5" s="42">
        <v>-3.8461538461538463</v>
      </c>
      <c r="N5" s="42">
        <v>-0.63113553113553145</v>
      </c>
      <c r="O5" s="42">
        <v>37.507875457875457</v>
      </c>
      <c r="P5" s="42">
        <v>-3.8924908424908433</v>
      </c>
      <c r="Q5" s="42">
        <v>14.953663003662999</v>
      </c>
      <c r="R5" s="42">
        <v>-3.2613553113553104</v>
      </c>
      <c r="S5" s="36">
        <v>1</v>
      </c>
    </row>
    <row r="6" spans="1:19" x14ac:dyDescent="0.2">
      <c r="A6" s="43">
        <v>5</v>
      </c>
      <c r="B6" s="50" t="s">
        <v>37</v>
      </c>
      <c r="C6" s="44">
        <v>33.615384615384613</v>
      </c>
      <c r="D6" s="44">
        <v>16.384615384615383</v>
      </c>
      <c r="E6" s="44">
        <v>-17.307692307692307</v>
      </c>
      <c r="F6" s="44">
        <v>-109.69230769230769</v>
      </c>
      <c r="G6" s="44">
        <v>-18.293772893772893</v>
      </c>
      <c r="H6" s="44">
        <v>-7.6923076923076927E-2</v>
      </c>
      <c r="I6" s="44">
        <v>49.807692307692307</v>
      </c>
      <c r="J6" s="44">
        <v>33.557692307692307</v>
      </c>
      <c r="K6" s="44">
        <v>5.7692307692307696E-2</v>
      </c>
      <c r="L6" s="44">
        <v>16.25</v>
      </c>
      <c r="M6" s="44">
        <v>0.13461538461538461</v>
      </c>
      <c r="N6" s="44">
        <v>-1.0630036630036632</v>
      </c>
      <c r="O6" s="44">
        <v>34.050732600732594</v>
      </c>
      <c r="P6" s="44">
        <v>-0.43534798534798497</v>
      </c>
      <c r="Q6" s="44">
        <v>15.756959706959707</v>
      </c>
      <c r="R6" s="44">
        <v>0.62765567765567787</v>
      </c>
      <c r="S6" s="32">
        <v>1</v>
      </c>
    </row>
    <row r="7" spans="1:19" x14ac:dyDescent="0.2">
      <c r="A7" s="41">
        <v>6</v>
      </c>
      <c r="B7" s="49" t="s">
        <v>19</v>
      </c>
      <c r="C7" s="42">
        <v>35.5</v>
      </c>
      <c r="D7" s="42">
        <v>10.916666666666666</v>
      </c>
      <c r="E7" s="42">
        <v>-24.458333333333332</v>
      </c>
      <c r="F7" s="42">
        <v>-110.83333333333333</v>
      </c>
      <c r="G7" s="42">
        <v>-25.848412698412691</v>
      </c>
      <c r="H7" s="42">
        <v>0.125</v>
      </c>
      <c r="I7" s="42">
        <v>50.291666666666664</v>
      </c>
      <c r="J7" s="42">
        <v>37.375</v>
      </c>
      <c r="K7" s="42">
        <v>-1.875</v>
      </c>
      <c r="L7" s="42">
        <v>12.916666666666666</v>
      </c>
      <c r="M7" s="42">
        <v>-2</v>
      </c>
      <c r="N7" s="42">
        <v>-1.265079365079365</v>
      </c>
      <c r="O7" s="42">
        <v>38.070039682539679</v>
      </c>
      <c r="P7" s="42">
        <v>-2.5700396825396821</v>
      </c>
      <c r="Q7" s="42">
        <v>12.221626984126987</v>
      </c>
      <c r="R7" s="42">
        <v>-1.3049603174603173</v>
      </c>
      <c r="S7" s="36">
        <v>1</v>
      </c>
    </row>
    <row r="8" spans="1:19" x14ac:dyDescent="0.2">
      <c r="A8" s="43">
        <v>7</v>
      </c>
      <c r="B8" s="50" t="s">
        <v>49</v>
      </c>
      <c r="C8" s="44">
        <v>37.25</v>
      </c>
      <c r="D8" s="44">
        <v>13.916666666666666</v>
      </c>
      <c r="E8" s="44">
        <v>-17.708333333333332</v>
      </c>
      <c r="F8" s="44">
        <v>-109.83333333333333</v>
      </c>
      <c r="G8" s="44">
        <v>-18.61984126984127</v>
      </c>
      <c r="H8" s="44">
        <v>5.625</v>
      </c>
      <c r="I8" s="44">
        <v>55</v>
      </c>
      <c r="J8" s="44">
        <v>36.354166666666664</v>
      </c>
      <c r="K8" s="44">
        <v>0.89583333333333337</v>
      </c>
      <c r="L8" s="44">
        <v>18.645833333333332</v>
      </c>
      <c r="M8" s="44">
        <v>-4.729166666666667</v>
      </c>
      <c r="N8" s="44">
        <v>4.7134920634920636</v>
      </c>
      <c r="O8" s="44">
        <v>36.809920634920637</v>
      </c>
      <c r="P8" s="44">
        <v>0.44007936507936485</v>
      </c>
      <c r="Q8" s="44">
        <v>18.190079365079367</v>
      </c>
      <c r="R8" s="44">
        <v>-4.2734126984126988</v>
      </c>
      <c r="S8" s="32">
        <v>1</v>
      </c>
    </row>
    <row r="9" spans="1:19" x14ac:dyDescent="0.2">
      <c r="A9" s="41">
        <v>8</v>
      </c>
      <c r="B9" s="49" t="s">
        <v>33</v>
      </c>
      <c r="C9" s="42">
        <v>39.07692307692308</v>
      </c>
      <c r="D9" s="42">
        <v>21.923076923076923</v>
      </c>
      <c r="E9" s="42">
        <v>-15.653846153846153</v>
      </c>
      <c r="F9" s="42">
        <v>-110.76923076923077</v>
      </c>
      <c r="G9" s="42">
        <v>-16.461904761904762</v>
      </c>
      <c r="H9" s="42">
        <v>1.5</v>
      </c>
      <c r="I9" s="42">
        <v>61.07692307692308</v>
      </c>
      <c r="J9" s="42">
        <v>38.365384615384613</v>
      </c>
      <c r="K9" s="42">
        <v>0.71153846153846156</v>
      </c>
      <c r="L9" s="42">
        <v>22.71153846153846</v>
      </c>
      <c r="M9" s="42">
        <v>-0.78846153846153844</v>
      </c>
      <c r="N9" s="42">
        <v>0.69194139194139148</v>
      </c>
      <c r="O9" s="42">
        <v>38.769413919413914</v>
      </c>
      <c r="P9" s="42">
        <v>0.30750915750915742</v>
      </c>
      <c r="Q9" s="42">
        <v>22.307509157509159</v>
      </c>
      <c r="R9" s="42">
        <v>-0.38443223443223434</v>
      </c>
      <c r="S9" s="36">
        <v>1</v>
      </c>
    </row>
    <row r="10" spans="1:19" x14ac:dyDescent="0.2">
      <c r="A10" s="43">
        <v>9</v>
      </c>
      <c r="B10" s="50" t="s">
        <v>86</v>
      </c>
      <c r="C10" s="44">
        <v>43.333333333333336</v>
      </c>
      <c r="D10" s="44">
        <v>14.666666666666666</v>
      </c>
      <c r="E10" s="44">
        <v>-14.625</v>
      </c>
      <c r="F10" s="44">
        <v>-109.58333333333333</v>
      </c>
      <c r="G10" s="44">
        <v>-15.245634920634922</v>
      </c>
      <c r="H10" s="44">
        <v>14.041666666666666</v>
      </c>
      <c r="I10" s="44">
        <v>50.541666666666664</v>
      </c>
      <c r="J10" s="44">
        <v>32.583333333333336</v>
      </c>
      <c r="K10" s="44">
        <v>10.75</v>
      </c>
      <c r="L10" s="44">
        <v>17.958333333333332</v>
      </c>
      <c r="M10" s="44">
        <v>-3.2916666666666665</v>
      </c>
      <c r="N10" s="44">
        <v>13.421031746031744</v>
      </c>
      <c r="O10" s="44">
        <v>32.893650793650799</v>
      </c>
      <c r="P10" s="44">
        <v>10.439682539682538</v>
      </c>
      <c r="Q10" s="44">
        <v>17.648015873015868</v>
      </c>
      <c r="R10" s="44">
        <v>-2.981349206349206</v>
      </c>
      <c r="S10" s="32">
        <v>1</v>
      </c>
    </row>
    <row r="11" spans="1:19" x14ac:dyDescent="0.2">
      <c r="A11" s="41">
        <v>10</v>
      </c>
      <c r="B11" s="49" t="s">
        <v>217</v>
      </c>
      <c r="C11" s="42">
        <v>33.07692307692308</v>
      </c>
      <c r="D11" s="42">
        <v>21.307692307692307</v>
      </c>
      <c r="E11" s="42">
        <v>-0.38461538461538464</v>
      </c>
      <c r="F11" s="42">
        <v>-110.53846153846153</v>
      </c>
      <c r="G11" s="42">
        <v>-0.37948717948717953</v>
      </c>
      <c r="H11" s="42">
        <v>11.384615384615385</v>
      </c>
      <c r="I11" s="42">
        <v>52.92307692307692</v>
      </c>
      <c r="J11" s="42">
        <v>26.653846153846153</v>
      </c>
      <c r="K11" s="42">
        <v>6.4230769230769234</v>
      </c>
      <c r="L11" s="42">
        <v>26.26923076923077</v>
      </c>
      <c r="M11" s="42">
        <v>-4.9615384615384617</v>
      </c>
      <c r="N11" s="42">
        <v>11.38974358974359</v>
      </c>
      <c r="O11" s="42">
        <v>26.651282051282053</v>
      </c>
      <c r="P11" s="42">
        <v>6.4256410256410259</v>
      </c>
      <c r="Q11" s="42">
        <v>26.271794871794871</v>
      </c>
      <c r="R11" s="42">
        <v>-4.9641025641025642</v>
      </c>
      <c r="S11" s="36">
        <v>1</v>
      </c>
    </row>
    <row r="12" spans="1:19" x14ac:dyDescent="0.2">
      <c r="A12" s="43">
        <v>11</v>
      </c>
      <c r="B12" s="50" t="s">
        <v>43</v>
      </c>
      <c r="C12" s="44">
        <v>35.5</v>
      </c>
      <c r="D12" s="44">
        <v>17.25</v>
      </c>
      <c r="E12" s="44">
        <v>-17.541666666666668</v>
      </c>
      <c r="F12" s="44">
        <v>-109.5</v>
      </c>
      <c r="G12" s="44">
        <v>-18.434920634920633</v>
      </c>
      <c r="H12" s="44">
        <v>0.70833333333333337</v>
      </c>
      <c r="I12" s="44">
        <v>54.166666666666664</v>
      </c>
      <c r="J12" s="44">
        <v>35.854166666666664</v>
      </c>
      <c r="K12" s="44">
        <v>-0.35416666666666669</v>
      </c>
      <c r="L12" s="44">
        <v>18.3125</v>
      </c>
      <c r="M12" s="44">
        <v>-1.0625</v>
      </c>
      <c r="N12" s="44">
        <v>-0.1849206349206344</v>
      </c>
      <c r="O12" s="44">
        <v>36.300793650793644</v>
      </c>
      <c r="P12" s="44">
        <v>-0.80079365079365028</v>
      </c>
      <c r="Q12" s="44">
        <v>17.865873015873017</v>
      </c>
      <c r="R12" s="44">
        <v>-0.61587301587301668</v>
      </c>
      <c r="S12" s="32">
        <v>0</v>
      </c>
    </row>
    <row r="13" spans="1:19" s="37" customFormat="1" x14ac:dyDescent="0.2">
      <c r="A13" s="45">
        <v>12</v>
      </c>
      <c r="B13" s="51" t="s">
        <v>150</v>
      </c>
      <c r="C13" s="46">
        <v>38.53846153846154</v>
      </c>
      <c r="D13" s="46">
        <v>20.846153846153847</v>
      </c>
      <c r="E13" s="46">
        <v>-13</v>
      </c>
      <c r="F13" s="46">
        <v>-111</v>
      </c>
      <c r="G13" s="46">
        <v>-13.843223443223444</v>
      </c>
      <c r="H13" s="46">
        <v>4.6923076923076925</v>
      </c>
      <c r="I13" s="46">
        <v>54.846153846153847</v>
      </c>
      <c r="J13" s="46">
        <v>33.92307692307692</v>
      </c>
      <c r="K13" s="46">
        <v>4.615384615384615</v>
      </c>
      <c r="L13" s="46">
        <v>20.923076923076923</v>
      </c>
      <c r="M13" s="46">
        <v>-7.6923076923076927E-2</v>
      </c>
      <c r="N13" s="46">
        <v>3.8490842490842492</v>
      </c>
      <c r="O13" s="46">
        <v>34.344688644688645</v>
      </c>
      <c r="P13" s="46">
        <v>4.193772893772894</v>
      </c>
      <c r="Q13" s="46">
        <v>20.501465201465201</v>
      </c>
      <c r="R13" s="46">
        <v>0.34468864468864469</v>
      </c>
      <c r="S13" s="36">
        <v>1</v>
      </c>
    </row>
    <row r="14" spans="1:19" x14ac:dyDescent="0.2">
      <c r="A14" s="41">
        <v>13</v>
      </c>
      <c r="B14" s="49" t="s">
        <v>40</v>
      </c>
      <c r="C14" s="42">
        <v>35.53846153846154</v>
      </c>
      <c r="D14" s="42">
        <v>22.307692307692307</v>
      </c>
      <c r="E14" s="42">
        <v>-14.076923076923077</v>
      </c>
      <c r="F14" s="42">
        <v>-110.92307692307692</v>
      </c>
      <c r="G14" s="42">
        <v>-14.960073260073257</v>
      </c>
      <c r="H14" s="42">
        <v>-0.84615384615384615</v>
      </c>
      <c r="I14" s="42">
        <v>54.115384615384613</v>
      </c>
      <c r="J14" s="42">
        <v>34.096153846153847</v>
      </c>
      <c r="K14" s="42">
        <v>1.4423076923076923</v>
      </c>
      <c r="L14" s="42">
        <v>20.01923076923077</v>
      </c>
      <c r="M14" s="42">
        <v>2.2884615384615383</v>
      </c>
      <c r="N14" s="42">
        <v>-1.7293040293040294</v>
      </c>
      <c r="O14" s="42">
        <v>34.537728937728943</v>
      </c>
      <c r="P14" s="42">
        <v>1.0007326007326018</v>
      </c>
      <c r="Q14" s="42">
        <v>19.577655677655677</v>
      </c>
      <c r="R14" s="42">
        <v>2.7300366300366292</v>
      </c>
      <c r="S14" s="32">
        <v>1</v>
      </c>
    </row>
    <row r="15" spans="1:19" x14ac:dyDescent="0.2">
      <c r="A15" s="41">
        <v>14</v>
      </c>
      <c r="B15" s="49" t="s">
        <v>131</v>
      </c>
      <c r="C15" s="42">
        <v>31.583333333333332</v>
      </c>
      <c r="D15" s="42">
        <v>17.833333333333332</v>
      </c>
      <c r="E15" s="42">
        <v>-4.375</v>
      </c>
      <c r="F15" s="42">
        <v>-109.91666666666667</v>
      </c>
      <c r="G15" s="42">
        <v>-4.5146825396825401</v>
      </c>
      <c r="H15" s="42">
        <v>9.375</v>
      </c>
      <c r="I15" s="42">
        <v>46.25</v>
      </c>
      <c r="J15" s="42">
        <v>25.3125</v>
      </c>
      <c r="K15" s="42">
        <v>6.270833333333333</v>
      </c>
      <c r="L15" s="42">
        <v>20.9375</v>
      </c>
      <c r="M15" s="42">
        <v>-3.1041666666666665</v>
      </c>
      <c r="N15" s="42">
        <v>9.235317460317459</v>
      </c>
      <c r="O15" s="42">
        <v>25.382341269841273</v>
      </c>
      <c r="P15" s="42">
        <v>6.2009920634920626</v>
      </c>
      <c r="Q15" s="42">
        <v>20.867658730158727</v>
      </c>
      <c r="R15" s="42">
        <v>-3.034325396825396</v>
      </c>
      <c r="S15" s="36">
        <v>0</v>
      </c>
    </row>
    <row r="16" spans="1:19" x14ac:dyDescent="0.2">
      <c r="A16" s="43">
        <v>15</v>
      </c>
      <c r="B16" s="50" t="s">
        <v>203</v>
      </c>
      <c r="C16" s="44">
        <v>44.166666666666664</v>
      </c>
      <c r="D16" s="44">
        <v>23.916666666666668</v>
      </c>
      <c r="E16" s="44">
        <v>-18.666666666666668</v>
      </c>
      <c r="F16" s="44">
        <v>-110</v>
      </c>
      <c r="G16" s="44">
        <v>-19.561111111111114</v>
      </c>
      <c r="H16" s="44">
        <v>1.5833333333333333</v>
      </c>
      <c r="I16" s="44">
        <v>59.25</v>
      </c>
      <c r="J16" s="44">
        <v>38.958333333333336</v>
      </c>
      <c r="K16" s="44">
        <v>5.208333333333333</v>
      </c>
      <c r="L16" s="44">
        <v>20.291666666666668</v>
      </c>
      <c r="M16" s="44">
        <v>3.625</v>
      </c>
      <c r="N16" s="44">
        <v>0.68888888888888822</v>
      </c>
      <c r="O16" s="44">
        <v>39.405555555555559</v>
      </c>
      <c r="P16" s="44">
        <v>4.7611111111111111</v>
      </c>
      <c r="Q16" s="44">
        <v>19.844444444444445</v>
      </c>
      <c r="R16" s="44">
        <v>4.0722222222222229</v>
      </c>
      <c r="S16" s="32">
        <v>0</v>
      </c>
    </row>
    <row r="17" spans="1:19" x14ac:dyDescent="0.2">
      <c r="A17" s="41">
        <v>16</v>
      </c>
      <c r="B17" s="49" t="s">
        <v>48</v>
      </c>
      <c r="C17" s="42">
        <v>37.5</v>
      </c>
      <c r="D17" s="42">
        <v>13.916666666666666</v>
      </c>
      <c r="E17" s="42">
        <v>-19.875</v>
      </c>
      <c r="F17" s="42">
        <v>-110.25</v>
      </c>
      <c r="G17" s="42">
        <v>-21.00198412698413</v>
      </c>
      <c r="H17" s="42">
        <v>3.7083333333333335</v>
      </c>
      <c r="I17" s="42">
        <v>58.666666666666664</v>
      </c>
      <c r="J17" s="42">
        <v>39.270833333333336</v>
      </c>
      <c r="K17" s="42">
        <v>-1.7708333333333333</v>
      </c>
      <c r="L17" s="42">
        <v>19.395833333333332</v>
      </c>
      <c r="M17" s="42">
        <v>-5.479166666666667</v>
      </c>
      <c r="N17" s="42">
        <v>2.5813492063492069</v>
      </c>
      <c r="O17" s="42">
        <v>39.834325396825399</v>
      </c>
      <c r="P17" s="42">
        <v>-2.3343253968253967</v>
      </c>
      <c r="Q17" s="42">
        <v>18.832341269841269</v>
      </c>
      <c r="R17" s="42">
        <v>-4.9156746031746037</v>
      </c>
      <c r="S17" s="36">
        <v>0</v>
      </c>
    </row>
    <row r="18" spans="1:19" x14ac:dyDescent="0.2">
      <c r="A18" s="43">
        <v>17</v>
      </c>
      <c r="B18" s="50" t="s">
        <v>122</v>
      </c>
      <c r="C18" s="44">
        <v>30.75</v>
      </c>
      <c r="D18" s="44">
        <v>20.083333333333332</v>
      </c>
      <c r="E18" s="44">
        <v>-2.2083333333333335</v>
      </c>
      <c r="F18" s="44">
        <v>-111.41666666666667</v>
      </c>
      <c r="G18" s="44">
        <v>-2.3511904761904763</v>
      </c>
      <c r="H18" s="44">
        <v>8.4583333333333339</v>
      </c>
      <c r="I18" s="44">
        <v>48.541666666666664</v>
      </c>
      <c r="J18" s="44">
        <v>25.375</v>
      </c>
      <c r="K18" s="44">
        <v>5.375</v>
      </c>
      <c r="L18" s="44">
        <v>23.166666666666668</v>
      </c>
      <c r="M18" s="44">
        <v>-3.0833333333333335</v>
      </c>
      <c r="N18" s="44">
        <v>8.3154761904761916</v>
      </c>
      <c r="O18" s="44">
        <v>25.446428571428573</v>
      </c>
      <c r="P18" s="44">
        <v>5.3035714285714279</v>
      </c>
      <c r="Q18" s="44">
        <v>23.095238095238091</v>
      </c>
      <c r="R18" s="44">
        <v>-3.0119047619047628</v>
      </c>
      <c r="S18" s="32">
        <v>0</v>
      </c>
    </row>
    <row r="19" spans="1:19" x14ac:dyDescent="0.2">
      <c r="A19" s="41">
        <v>18</v>
      </c>
      <c r="B19" s="49" t="s">
        <v>124</v>
      </c>
      <c r="C19" s="42">
        <v>30.23076923076923</v>
      </c>
      <c r="D19" s="42">
        <v>21.53846153846154</v>
      </c>
      <c r="E19" s="42">
        <v>-9.6923076923076916</v>
      </c>
      <c r="F19" s="42">
        <v>-110.76923076923077</v>
      </c>
      <c r="G19" s="42">
        <v>-10.308424908424909</v>
      </c>
      <c r="H19" s="42">
        <v>-1</v>
      </c>
      <c r="I19" s="42">
        <v>48.846153846153847</v>
      </c>
      <c r="J19" s="42">
        <v>29.26923076923077</v>
      </c>
      <c r="K19" s="42">
        <v>0.96153846153846156</v>
      </c>
      <c r="L19" s="42">
        <v>19.576923076923077</v>
      </c>
      <c r="M19" s="42">
        <v>1.9615384615384615</v>
      </c>
      <c r="N19" s="42">
        <v>-1.6161172161172166</v>
      </c>
      <c r="O19" s="42">
        <v>29.577289377289375</v>
      </c>
      <c r="P19" s="42">
        <v>0.65347985347985338</v>
      </c>
      <c r="Q19" s="42">
        <v>19.268864468864471</v>
      </c>
      <c r="R19" s="42">
        <v>2.26959706959707</v>
      </c>
      <c r="S19" s="36">
        <v>0</v>
      </c>
    </row>
    <row r="20" spans="1:19" x14ac:dyDescent="0.2">
      <c r="A20" s="43">
        <v>19</v>
      </c>
      <c r="B20" s="50" t="s">
        <v>64</v>
      </c>
      <c r="C20" s="44">
        <v>32.916666666666664</v>
      </c>
      <c r="D20" s="44">
        <v>15</v>
      </c>
      <c r="E20" s="44">
        <v>-9.9583333333333339</v>
      </c>
      <c r="F20" s="44">
        <v>-110.83333333333333</v>
      </c>
      <c r="G20" s="44">
        <v>-10.385317460317461</v>
      </c>
      <c r="H20" s="44">
        <v>7.958333333333333</v>
      </c>
      <c r="I20" s="44">
        <v>49.166666666666664</v>
      </c>
      <c r="J20" s="44">
        <v>29.5625</v>
      </c>
      <c r="K20" s="44">
        <v>3.3541666666666665</v>
      </c>
      <c r="L20" s="44">
        <v>19.604166666666668</v>
      </c>
      <c r="M20" s="44">
        <v>-4.604166666666667</v>
      </c>
      <c r="N20" s="44">
        <v>7.5313492063492076</v>
      </c>
      <c r="O20" s="44">
        <v>29.775992063492065</v>
      </c>
      <c r="P20" s="44">
        <v>3.1406746031746025</v>
      </c>
      <c r="Q20" s="44">
        <v>19.390674603174606</v>
      </c>
      <c r="R20" s="44">
        <v>-4.3906746031746033</v>
      </c>
      <c r="S20" s="32">
        <v>0</v>
      </c>
    </row>
    <row r="21" spans="1:19" x14ac:dyDescent="0.2">
      <c r="A21" s="41">
        <v>20</v>
      </c>
      <c r="B21" s="49" t="s">
        <v>218</v>
      </c>
      <c r="C21" s="42">
        <v>34.5</v>
      </c>
      <c r="D21" s="42">
        <v>22</v>
      </c>
      <c r="E21" s="42">
        <v>-3</v>
      </c>
      <c r="F21" s="42">
        <v>-92.25</v>
      </c>
      <c r="G21" s="42">
        <v>-3.7638888888888888</v>
      </c>
      <c r="H21" s="42">
        <v>9.5</v>
      </c>
      <c r="I21" s="42">
        <v>57.125</v>
      </c>
      <c r="J21" s="42">
        <v>30.0625</v>
      </c>
      <c r="K21" s="42">
        <v>4.4375</v>
      </c>
      <c r="L21" s="42">
        <v>27.0625</v>
      </c>
      <c r="M21" s="42">
        <v>-5.0625</v>
      </c>
      <c r="N21" s="42">
        <v>8.7361111111111107</v>
      </c>
      <c r="O21" s="42">
        <v>30.444444444444443</v>
      </c>
      <c r="P21" s="42">
        <v>4.0555555555555554</v>
      </c>
      <c r="Q21" s="42">
        <v>26.680555555555557</v>
      </c>
      <c r="R21" s="42">
        <v>-4.6805555555555562</v>
      </c>
      <c r="S21" s="36">
        <v>0</v>
      </c>
    </row>
    <row r="22" spans="1:19" x14ac:dyDescent="0.2">
      <c r="A22" s="43">
        <v>21</v>
      </c>
      <c r="B22" s="50" t="s">
        <v>15</v>
      </c>
      <c r="C22" s="44">
        <v>28.916666666666668</v>
      </c>
      <c r="D22" s="44">
        <v>22.083333333333332</v>
      </c>
      <c r="E22" s="44">
        <v>-1.2916666666666667</v>
      </c>
      <c r="F22" s="44">
        <v>-109.75</v>
      </c>
      <c r="G22" s="44">
        <v>-1.2416666666666674</v>
      </c>
      <c r="H22" s="44">
        <v>5.541666666666667</v>
      </c>
      <c r="I22" s="44">
        <v>48.5</v>
      </c>
      <c r="J22" s="44">
        <v>24.895833333333332</v>
      </c>
      <c r="K22" s="44">
        <v>4.020833333333333</v>
      </c>
      <c r="L22" s="44">
        <v>23.604166666666668</v>
      </c>
      <c r="M22" s="44">
        <v>-1.5208333333333333</v>
      </c>
      <c r="N22" s="44">
        <v>5.5916666666666659</v>
      </c>
      <c r="O22" s="44">
        <v>24.870833333333334</v>
      </c>
      <c r="P22" s="44">
        <v>4.0458333333333334</v>
      </c>
      <c r="Q22" s="44">
        <v>23.629166666666666</v>
      </c>
      <c r="R22" s="44">
        <v>-1.5458333333333332</v>
      </c>
      <c r="S22" s="32">
        <v>0</v>
      </c>
    </row>
    <row r="23" spans="1:19" x14ac:dyDescent="0.2">
      <c r="A23" s="41">
        <v>22</v>
      </c>
      <c r="B23" s="49" t="s">
        <v>160</v>
      </c>
      <c r="C23" s="42">
        <v>32.583333333333336</v>
      </c>
      <c r="D23" s="42">
        <v>28.666666666666668</v>
      </c>
      <c r="E23" s="42">
        <v>-2.1666666666666665</v>
      </c>
      <c r="F23" s="42">
        <v>-111.25</v>
      </c>
      <c r="G23" s="42">
        <v>-2.2996031746031735</v>
      </c>
      <c r="H23" s="42">
        <v>1.75</v>
      </c>
      <c r="I23" s="42">
        <v>56.166666666666664</v>
      </c>
      <c r="J23" s="42">
        <v>29.166666666666668</v>
      </c>
      <c r="K23" s="42">
        <v>3.4166666666666665</v>
      </c>
      <c r="L23" s="42">
        <v>27</v>
      </c>
      <c r="M23" s="42">
        <v>1.6666666666666667</v>
      </c>
      <c r="N23" s="42">
        <v>1.6170634920634928</v>
      </c>
      <c r="O23" s="42">
        <v>29.233134920634921</v>
      </c>
      <c r="P23" s="42">
        <v>3.3501984126984126</v>
      </c>
      <c r="Q23" s="42">
        <v>26.933531746031747</v>
      </c>
      <c r="R23" s="42">
        <v>1.7331349206349209</v>
      </c>
      <c r="S23" s="36">
        <v>0</v>
      </c>
    </row>
    <row r="24" spans="1:19" x14ac:dyDescent="0.2">
      <c r="A24" s="43">
        <v>23</v>
      </c>
      <c r="B24" s="50" t="s">
        <v>132</v>
      </c>
      <c r="C24" s="44">
        <v>29.083333333333332</v>
      </c>
      <c r="D24" s="44">
        <v>20.083333333333332</v>
      </c>
      <c r="E24" s="44">
        <v>-10.458333333333334</v>
      </c>
      <c r="F24" s="44">
        <v>-109</v>
      </c>
      <c r="G24" s="44">
        <v>-10.939285714285717</v>
      </c>
      <c r="H24" s="44">
        <v>-1.4583333333333333</v>
      </c>
      <c r="I24" s="44">
        <v>51.166666666666664</v>
      </c>
      <c r="J24" s="44">
        <v>30.8125</v>
      </c>
      <c r="K24" s="44">
        <v>-1.7291666666666667</v>
      </c>
      <c r="L24" s="44">
        <v>20.354166666666668</v>
      </c>
      <c r="M24" s="44">
        <v>-0.27083333333333331</v>
      </c>
      <c r="N24" s="44">
        <v>-1.9392857142857143</v>
      </c>
      <c r="O24" s="44">
        <v>31.052976190476198</v>
      </c>
      <c r="P24" s="44">
        <v>-1.9696428571428564</v>
      </c>
      <c r="Q24" s="44">
        <v>20.113690476190474</v>
      </c>
      <c r="R24" s="44">
        <v>-3.0357142857142822E-2</v>
      </c>
      <c r="S24" s="32">
        <v>0</v>
      </c>
    </row>
    <row r="25" spans="1:19" x14ac:dyDescent="0.2">
      <c r="A25" s="41">
        <v>24</v>
      </c>
      <c r="B25" s="49" t="s">
        <v>100</v>
      </c>
      <c r="C25" s="42">
        <v>36.230769230769234</v>
      </c>
      <c r="D25" s="42">
        <v>21.923076923076923</v>
      </c>
      <c r="E25" s="42">
        <v>-8.7307692307692299</v>
      </c>
      <c r="F25" s="42">
        <v>-111</v>
      </c>
      <c r="G25" s="42">
        <v>-9.1677655677655689</v>
      </c>
      <c r="H25" s="42">
        <v>5.5769230769230766</v>
      </c>
      <c r="I25" s="42">
        <v>57.192307692307693</v>
      </c>
      <c r="J25" s="42">
        <v>32.96153846153846</v>
      </c>
      <c r="K25" s="42">
        <v>3.2692307692307692</v>
      </c>
      <c r="L25" s="42">
        <v>24.23076923076923</v>
      </c>
      <c r="M25" s="42">
        <v>-2.3076923076923075</v>
      </c>
      <c r="N25" s="42">
        <v>5.1399267399267394</v>
      </c>
      <c r="O25" s="42">
        <v>33.180036630036632</v>
      </c>
      <c r="P25" s="42">
        <v>3.0507326007326006</v>
      </c>
      <c r="Q25" s="42">
        <v>24.012271062271068</v>
      </c>
      <c r="R25" s="42">
        <v>-2.0891941391941384</v>
      </c>
      <c r="S25" s="36">
        <v>0</v>
      </c>
    </row>
    <row r="26" spans="1:19" x14ac:dyDescent="0.2">
      <c r="A26" s="43">
        <v>25</v>
      </c>
      <c r="B26" s="50" t="s">
        <v>219</v>
      </c>
      <c r="C26" s="44">
        <v>35.166666666666664</v>
      </c>
      <c r="D26" s="44">
        <v>22.75</v>
      </c>
      <c r="E26" s="44">
        <v>-11.708333333333334</v>
      </c>
      <c r="F26" s="44">
        <v>-110.58333333333333</v>
      </c>
      <c r="G26" s="44">
        <v>-12.317857142857143</v>
      </c>
      <c r="H26" s="44">
        <v>0.70833333333333337</v>
      </c>
      <c r="I26" s="44">
        <v>57.958333333333336</v>
      </c>
      <c r="J26" s="44">
        <v>34.833333333333336</v>
      </c>
      <c r="K26" s="44">
        <v>0.33333333333333331</v>
      </c>
      <c r="L26" s="44">
        <v>23.125</v>
      </c>
      <c r="M26" s="44">
        <v>-0.375</v>
      </c>
      <c r="N26" s="44">
        <v>9.8809523809523306E-2</v>
      </c>
      <c r="O26" s="44">
        <v>35.138095238095239</v>
      </c>
      <c r="P26" s="44">
        <v>2.8571428571428765E-2</v>
      </c>
      <c r="Q26" s="44">
        <v>22.820238095238096</v>
      </c>
      <c r="R26" s="44">
        <v>-7.0238095238095433E-2</v>
      </c>
      <c r="S26" s="3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3D41-E33B-404D-ADFB-DDD8131A3F7D}">
  <dimension ref="A1:R16"/>
  <sheetViews>
    <sheetView zoomScale="48" workbookViewId="0">
      <selection activeCell="D34" sqref="D34"/>
    </sheetView>
  </sheetViews>
  <sheetFormatPr baseColWidth="10" defaultRowHeight="16" x14ac:dyDescent="0.2"/>
  <cols>
    <col min="1" max="1" width="8.5" bestFit="1" customWidth="1"/>
    <col min="2" max="2" width="12.1640625" bestFit="1" customWidth="1"/>
    <col min="3" max="3" width="20.1640625" bestFit="1" customWidth="1"/>
    <col min="4" max="4" width="20.5" bestFit="1" customWidth="1"/>
    <col min="5" max="5" width="23.1640625" bestFit="1" customWidth="1"/>
    <col min="6" max="6" width="21.1640625" bestFit="1" customWidth="1"/>
    <col min="7" max="7" width="20.83203125" bestFit="1" customWidth="1"/>
    <col min="8" max="8" width="42.5" bestFit="1" customWidth="1"/>
    <col min="9" max="9" width="15.1640625" bestFit="1" customWidth="1"/>
    <col min="10" max="10" width="31.1640625" bestFit="1" customWidth="1"/>
    <col min="11" max="11" width="41.1640625" bestFit="1" customWidth="1"/>
    <col min="12" max="12" width="29.83203125" bestFit="1" customWidth="1"/>
    <col min="13" max="13" width="44.83203125" bestFit="1" customWidth="1"/>
    <col min="14" max="14" width="40.5" bestFit="1" customWidth="1"/>
    <col min="15" max="15" width="29.1640625" bestFit="1" customWidth="1"/>
    <col min="16" max="16" width="39.1640625" bestFit="1" customWidth="1"/>
    <col min="17" max="17" width="28.5" bestFit="1" customWidth="1"/>
    <col min="18" max="18" width="41.1640625" bestFit="1" customWidth="1"/>
  </cols>
  <sheetData>
    <row r="1" spans="1:18" ht="17" thickBot="1" x14ac:dyDescent="0.25">
      <c r="A1" s="31" t="s">
        <v>220</v>
      </c>
      <c r="B1" s="13" t="s">
        <v>216</v>
      </c>
      <c r="C1" s="1" t="s">
        <v>224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225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</row>
    <row r="2" spans="1:18" x14ac:dyDescent="0.2">
      <c r="A2" s="15">
        <v>1</v>
      </c>
      <c r="B2" s="15" t="s">
        <v>24</v>
      </c>
      <c r="C2" s="16">
        <v>467</v>
      </c>
      <c r="D2" s="17">
        <v>231</v>
      </c>
      <c r="E2" s="17">
        <v>-252.5</v>
      </c>
      <c r="F2" s="17">
        <v>-1437</v>
      </c>
      <c r="G2" s="17">
        <v>-265.52857142857147</v>
      </c>
      <c r="H2" s="17">
        <v>-16.5</v>
      </c>
      <c r="I2" s="17">
        <v>701</v>
      </c>
      <c r="J2" s="17">
        <v>476.75</v>
      </c>
      <c r="K2" s="17">
        <v>-9.75</v>
      </c>
      <c r="L2" s="17">
        <v>224.25</v>
      </c>
      <c r="M2" s="17">
        <v>6.75</v>
      </c>
      <c r="N2" s="17">
        <v>-29.528571428571428</v>
      </c>
      <c r="O2" s="17">
        <v>483.26428571428573</v>
      </c>
      <c r="P2" s="17">
        <v>-16.264285714285709</v>
      </c>
      <c r="Q2" s="17">
        <v>217.73571428571427</v>
      </c>
      <c r="R2" s="17">
        <v>13.264285714285718</v>
      </c>
    </row>
    <row r="3" spans="1:18" x14ac:dyDescent="0.2">
      <c r="A3">
        <v>2</v>
      </c>
      <c r="B3" t="s">
        <v>72</v>
      </c>
      <c r="C3" s="14">
        <v>431</v>
      </c>
      <c r="D3" s="12">
        <v>265</v>
      </c>
      <c r="E3" s="12">
        <v>-221.5</v>
      </c>
      <c r="F3" s="12">
        <v>-1441</v>
      </c>
      <c r="G3" s="12">
        <v>-235.36190476190475</v>
      </c>
      <c r="H3" s="12">
        <v>-55.5</v>
      </c>
      <c r="I3" s="12">
        <v>684</v>
      </c>
      <c r="J3" s="12">
        <v>452.75</v>
      </c>
      <c r="K3" s="12">
        <v>-21.75</v>
      </c>
      <c r="L3" s="12">
        <v>231.25</v>
      </c>
      <c r="M3" s="12">
        <v>33.75</v>
      </c>
      <c r="N3" s="12">
        <v>-69.361904761904754</v>
      </c>
      <c r="O3" s="12">
        <v>459.68095238095236</v>
      </c>
      <c r="P3" s="12">
        <v>-28.680952380952373</v>
      </c>
      <c r="Q3" s="12">
        <v>224.31904761904761</v>
      </c>
      <c r="R3" s="12">
        <v>40.680952380952377</v>
      </c>
    </row>
    <row r="4" spans="1:18" x14ac:dyDescent="0.2">
      <c r="A4">
        <v>3</v>
      </c>
      <c r="B4" t="s">
        <v>187</v>
      </c>
      <c r="C4" s="14">
        <v>478</v>
      </c>
      <c r="D4" s="12">
        <v>163</v>
      </c>
      <c r="E4" s="12">
        <v>-183.5</v>
      </c>
      <c r="F4" s="12">
        <v>-1340</v>
      </c>
      <c r="G4" s="12">
        <v>-194.3857142857143</v>
      </c>
      <c r="H4" s="12">
        <v>131.5</v>
      </c>
      <c r="I4" s="12">
        <v>566.5</v>
      </c>
      <c r="J4" s="12">
        <v>375</v>
      </c>
      <c r="K4" s="12">
        <v>103</v>
      </c>
      <c r="L4" s="12">
        <v>191.5</v>
      </c>
      <c r="M4" s="12">
        <v>-28.5</v>
      </c>
      <c r="N4" s="12">
        <v>120.6142857142857</v>
      </c>
      <c r="O4" s="12">
        <v>380.44285714285718</v>
      </c>
      <c r="P4" s="12">
        <v>97.55714285714285</v>
      </c>
      <c r="Q4" s="12">
        <v>186.05714285714288</v>
      </c>
      <c r="R4" s="12">
        <v>-23.057142857142853</v>
      </c>
    </row>
    <row r="5" spans="1:18" x14ac:dyDescent="0.2">
      <c r="A5">
        <v>4</v>
      </c>
      <c r="B5" t="s">
        <v>46</v>
      </c>
      <c r="C5" s="14">
        <v>437</v>
      </c>
      <c r="D5" s="12">
        <v>152</v>
      </c>
      <c r="E5" s="12">
        <v>-278</v>
      </c>
      <c r="F5" s="12">
        <v>-1435</v>
      </c>
      <c r="G5" s="12">
        <v>-293.20476190476194</v>
      </c>
      <c r="H5" s="12">
        <v>7</v>
      </c>
      <c r="I5" s="12">
        <v>682</v>
      </c>
      <c r="J5" s="12">
        <v>480</v>
      </c>
      <c r="K5" s="12">
        <v>-43</v>
      </c>
      <c r="L5" s="12">
        <v>202</v>
      </c>
      <c r="M5" s="12">
        <v>-50</v>
      </c>
      <c r="N5" s="12">
        <v>-8.2047619047619094</v>
      </c>
      <c r="O5" s="12">
        <v>487.60238095238094</v>
      </c>
      <c r="P5" s="12">
        <v>-50.602380952380962</v>
      </c>
      <c r="Q5" s="12">
        <v>194.397619047619</v>
      </c>
      <c r="R5" s="12">
        <v>-42.397619047619038</v>
      </c>
    </row>
    <row r="6" spans="1:18" x14ac:dyDescent="0.2">
      <c r="A6">
        <v>5</v>
      </c>
      <c r="B6" t="s">
        <v>37</v>
      </c>
      <c r="C6" s="14">
        <v>437</v>
      </c>
      <c r="D6" s="12">
        <v>213</v>
      </c>
      <c r="E6" s="12">
        <v>-225</v>
      </c>
      <c r="F6" s="12">
        <v>-1426</v>
      </c>
      <c r="G6" s="12">
        <v>-237.81904761904761</v>
      </c>
      <c r="H6" s="12">
        <v>-1</v>
      </c>
      <c r="I6" s="12">
        <v>647.5</v>
      </c>
      <c r="J6" s="12">
        <v>436.25</v>
      </c>
      <c r="K6" s="12">
        <v>0.75</v>
      </c>
      <c r="L6" s="12">
        <v>211.25</v>
      </c>
      <c r="M6" s="12">
        <v>1.75</v>
      </c>
      <c r="N6" s="12">
        <v>-13.819047619047623</v>
      </c>
      <c r="O6" s="12">
        <v>442.65952380952376</v>
      </c>
      <c r="P6" s="12">
        <v>-5.6595238095238045</v>
      </c>
      <c r="Q6" s="12">
        <v>204.84047619047618</v>
      </c>
      <c r="R6" s="12">
        <v>8.1595238095238116</v>
      </c>
    </row>
    <row r="7" spans="1:18" x14ac:dyDescent="0.2">
      <c r="A7">
        <v>6</v>
      </c>
      <c r="B7" t="s">
        <v>19</v>
      </c>
      <c r="C7" s="14">
        <v>426</v>
      </c>
      <c r="D7" s="12">
        <v>131</v>
      </c>
      <c r="E7" s="12">
        <v>-293.5</v>
      </c>
      <c r="F7" s="12">
        <v>-1330</v>
      </c>
      <c r="G7" s="12">
        <v>-310.18095238095231</v>
      </c>
      <c r="H7" s="12">
        <v>1.5</v>
      </c>
      <c r="I7" s="12">
        <v>603.5</v>
      </c>
      <c r="J7" s="12">
        <v>448.5</v>
      </c>
      <c r="K7" s="12">
        <v>-22.5</v>
      </c>
      <c r="L7" s="12">
        <v>155</v>
      </c>
      <c r="M7" s="12">
        <v>-24</v>
      </c>
      <c r="N7" s="12">
        <v>-15.18095238095238</v>
      </c>
      <c r="O7" s="12">
        <v>456.84047619047618</v>
      </c>
      <c r="P7" s="12">
        <v>-30.840476190476185</v>
      </c>
      <c r="Q7" s="12">
        <v>146.65952380952385</v>
      </c>
      <c r="R7" s="12">
        <v>-15.659523809523808</v>
      </c>
    </row>
    <row r="8" spans="1:18" x14ac:dyDescent="0.2">
      <c r="A8">
        <v>7</v>
      </c>
      <c r="B8" t="s">
        <v>49</v>
      </c>
      <c r="C8" s="14">
        <v>447</v>
      </c>
      <c r="D8" s="12">
        <v>167</v>
      </c>
      <c r="E8" s="12">
        <v>-212.5</v>
      </c>
      <c r="F8" s="12">
        <v>-1318</v>
      </c>
      <c r="G8" s="12">
        <v>-223.43809523809526</v>
      </c>
      <c r="H8" s="12">
        <v>67.5</v>
      </c>
      <c r="I8" s="12">
        <v>660</v>
      </c>
      <c r="J8" s="12">
        <v>436.25</v>
      </c>
      <c r="K8" s="12">
        <v>10.75</v>
      </c>
      <c r="L8" s="12">
        <v>223.75</v>
      </c>
      <c r="M8" s="12">
        <v>-56.75</v>
      </c>
      <c r="N8" s="12">
        <v>56.561904761904763</v>
      </c>
      <c r="O8" s="12">
        <v>441.71904761904761</v>
      </c>
      <c r="P8" s="12">
        <v>5.2809523809523782</v>
      </c>
      <c r="Q8" s="12">
        <v>218.28095238095239</v>
      </c>
      <c r="R8" s="12">
        <v>-51.280952380952385</v>
      </c>
    </row>
    <row r="9" spans="1:18" x14ac:dyDescent="0.2">
      <c r="A9">
        <v>8</v>
      </c>
      <c r="B9" t="s">
        <v>33</v>
      </c>
      <c r="C9" s="14">
        <v>508</v>
      </c>
      <c r="D9" s="12">
        <v>285</v>
      </c>
      <c r="E9" s="12">
        <v>-203.5</v>
      </c>
      <c r="F9" s="12">
        <v>-1440</v>
      </c>
      <c r="G9" s="12">
        <v>-214.00476190476192</v>
      </c>
      <c r="H9" s="12">
        <v>19.5</v>
      </c>
      <c r="I9" s="12">
        <v>794</v>
      </c>
      <c r="J9" s="12">
        <v>498.75</v>
      </c>
      <c r="K9" s="12">
        <v>9.25</v>
      </c>
      <c r="L9" s="12">
        <v>295.25</v>
      </c>
      <c r="M9" s="12">
        <v>-10.25</v>
      </c>
      <c r="N9" s="12">
        <v>8.9952380952380899</v>
      </c>
      <c r="O9" s="12">
        <v>504.00238095238086</v>
      </c>
      <c r="P9" s="12">
        <v>3.9976190476190467</v>
      </c>
      <c r="Q9" s="12">
        <v>289.99761904761908</v>
      </c>
      <c r="R9" s="12">
        <v>-4.9976190476190467</v>
      </c>
    </row>
    <row r="10" spans="1:18" x14ac:dyDescent="0.2">
      <c r="A10">
        <v>9</v>
      </c>
      <c r="B10" t="s">
        <v>86</v>
      </c>
      <c r="C10" s="14">
        <v>520</v>
      </c>
      <c r="D10" s="12">
        <v>176</v>
      </c>
      <c r="E10" s="12">
        <v>-175.5</v>
      </c>
      <c r="F10" s="12">
        <v>-1315</v>
      </c>
      <c r="G10" s="12">
        <v>-182.94761904761907</v>
      </c>
      <c r="H10" s="12">
        <v>168.5</v>
      </c>
      <c r="I10" s="12">
        <v>606.5</v>
      </c>
      <c r="J10" s="12">
        <v>391</v>
      </c>
      <c r="K10" s="12">
        <v>129</v>
      </c>
      <c r="L10" s="12">
        <v>215.5</v>
      </c>
      <c r="M10" s="12">
        <v>-39.5</v>
      </c>
      <c r="N10" s="12">
        <v>161.05238095238093</v>
      </c>
      <c r="O10" s="12">
        <v>394.72380952380956</v>
      </c>
      <c r="P10" s="12">
        <v>125.27619047619046</v>
      </c>
      <c r="Q10" s="12">
        <v>211.77619047619044</v>
      </c>
      <c r="R10" s="12">
        <v>-35.776190476190472</v>
      </c>
    </row>
    <row r="11" spans="1:18" x14ac:dyDescent="0.2">
      <c r="A11">
        <v>10</v>
      </c>
      <c r="B11" t="s">
        <v>217</v>
      </c>
      <c r="C11" s="14">
        <v>430</v>
      </c>
      <c r="D11" s="12">
        <v>277</v>
      </c>
      <c r="E11" s="12">
        <v>-5</v>
      </c>
      <c r="F11" s="12">
        <v>-1437</v>
      </c>
      <c r="G11" s="12">
        <v>-4.9333333333333336</v>
      </c>
      <c r="H11" s="12">
        <v>148</v>
      </c>
      <c r="I11" s="12">
        <v>688</v>
      </c>
      <c r="J11" s="12">
        <v>346.5</v>
      </c>
      <c r="K11" s="12">
        <v>83.5</v>
      </c>
      <c r="L11" s="12">
        <v>341.5</v>
      </c>
      <c r="M11" s="12">
        <v>-64.5</v>
      </c>
      <c r="N11" s="12">
        <v>148.06666666666666</v>
      </c>
      <c r="O11" s="12">
        <v>346.4666666666667</v>
      </c>
      <c r="P11" s="12">
        <v>83.533333333333331</v>
      </c>
      <c r="Q11" s="12">
        <v>341.5333333333333</v>
      </c>
      <c r="R11" s="12">
        <v>-64.533333333333331</v>
      </c>
    </row>
    <row r="12" spans="1:18" x14ac:dyDescent="0.2">
      <c r="A12">
        <v>12</v>
      </c>
      <c r="B12" t="s">
        <v>150</v>
      </c>
      <c r="C12" s="14">
        <v>501</v>
      </c>
      <c r="D12" s="12">
        <v>271</v>
      </c>
      <c r="E12" s="12">
        <v>-169</v>
      </c>
      <c r="F12" s="12">
        <v>-1443</v>
      </c>
      <c r="G12" s="12">
        <v>-179.96190476190478</v>
      </c>
      <c r="H12" s="12">
        <v>61</v>
      </c>
      <c r="I12" s="12">
        <v>713</v>
      </c>
      <c r="J12" s="12">
        <v>441</v>
      </c>
      <c r="K12" s="12">
        <v>60</v>
      </c>
      <c r="L12" s="12">
        <v>272</v>
      </c>
      <c r="M12" s="12">
        <v>-1</v>
      </c>
      <c r="N12" s="12">
        <v>50.038095238095238</v>
      </c>
      <c r="O12" s="12">
        <v>446.48095238095237</v>
      </c>
      <c r="P12" s="12">
        <v>54.519047619047619</v>
      </c>
      <c r="Q12" s="12">
        <v>266.51904761904763</v>
      </c>
      <c r="R12" s="12">
        <v>4.480952380952381</v>
      </c>
    </row>
    <row r="13" spans="1:18" ht="17" thickBot="1" x14ac:dyDescent="0.25">
      <c r="A13" s="18">
        <v>13</v>
      </c>
      <c r="B13" s="18" t="s">
        <v>40</v>
      </c>
      <c r="C13" s="19">
        <v>462</v>
      </c>
      <c r="D13" s="21">
        <v>290</v>
      </c>
      <c r="E13" s="21">
        <v>-183</v>
      </c>
      <c r="F13" s="21">
        <v>-1442</v>
      </c>
      <c r="G13" s="21">
        <v>-194.48095238095235</v>
      </c>
      <c r="H13" s="21">
        <v>-11</v>
      </c>
      <c r="I13" s="21">
        <v>703.5</v>
      </c>
      <c r="J13" s="21">
        <v>443.25</v>
      </c>
      <c r="K13" s="21">
        <v>18.75</v>
      </c>
      <c r="L13" s="21">
        <v>260.25</v>
      </c>
      <c r="M13" s="21">
        <v>29.75</v>
      </c>
      <c r="N13" s="21">
        <v>-22.480952380952381</v>
      </c>
      <c r="O13" s="21">
        <v>448.99047619047627</v>
      </c>
      <c r="P13" s="21">
        <v>13.009523809523824</v>
      </c>
      <c r="Q13" s="21">
        <v>254.50952380952381</v>
      </c>
      <c r="R13" s="21">
        <v>35.49047619047618</v>
      </c>
    </row>
    <row r="14" spans="1:18" x14ac:dyDescent="0.2">
      <c r="A14" s="20"/>
      <c r="B14" s="20" t="s">
        <v>221</v>
      </c>
      <c r="C14" s="16">
        <f>SUM(C2:C13)</f>
        <v>5544</v>
      </c>
      <c r="D14" s="17">
        <f t="shared" ref="D14:R14" si="0">SUM(D2:D13)</f>
        <v>2621</v>
      </c>
      <c r="E14" s="17">
        <f>SUM(E2:E13)</f>
        <v>-2402.5</v>
      </c>
      <c r="F14" s="17">
        <f t="shared" si="0"/>
        <v>-16804</v>
      </c>
      <c r="G14" s="17">
        <f t="shared" ref="G14" si="1">SUM(G2:G13)</f>
        <v>-2536.2476190476186</v>
      </c>
      <c r="H14" s="17">
        <f t="shared" ref="H14" si="2">SUM(H2:H13)</f>
        <v>520.5</v>
      </c>
      <c r="I14" s="17">
        <f t="shared" ref="I14" si="3">SUM(I2:I13)</f>
        <v>8049.5</v>
      </c>
      <c r="J14" s="17">
        <f t="shared" ref="J14" si="4">SUM(J2:J13)</f>
        <v>5226</v>
      </c>
      <c r="K14" s="17">
        <f t="shared" ref="K14" si="5">SUM(K2:K13)</f>
        <v>318</v>
      </c>
      <c r="L14" s="17">
        <f t="shared" ref="L14" si="6">SUM(L2:L13)</f>
        <v>2823.5</v>
      </c>
      <c r="M14" s="17">
        <f t="shared" ref="M14" si="7">SUM(M2:M13)</f>
        <v>-202.5</v>
      </c>
      <c r="N14" s="17">
        <f t="shared" ref="N14" si="8">SUM(N2:N13)</f>
        <v>386.75238095238092</v>
      </c>
      <c r="O14" s="17">
        <f t="shared" ref="O14" si="9">SUM(O2:O13)</f>
        <v>5292.8738095238095</v>
      </c>
      <c r="P14" s="17">
        <f t="shared" ref="P14" si="10">SUM(P2:P13)</f>
        <v>251.12619047619049</v>
      </c>
      <c r="Q14" s="17">
        <f t="shared" ref="Q14" si="11">SUM(Q2:Q13)</f>
        <v>2756.6261904761905</v>
      </c>
      <c r="R14" s="17">
        <f t="shared" ref="R14" si="12">SUM(R2:R13)</f>
        <v>-135.62619047619046</v>
      </c>
    </row>
    <row r="15" spans="1:18" x14ac:dyDescent="0.2">
      <c r="A15" s="20"/>
      <c r="B15" s="20" t="s">
        <v>26</v>
      </c>
      <c r="C15" s="14">
        <f>AVERAGE(C2:C13)</f>
        <v>462</v>
      </c>
      <c r="D15" s="21">
        <f>AVERAGE(D2:D13)</f>
        <v>218.41666666666666</v>
      </c>
      <c r="E15" s="21">
        <f t="shared" ref="E15:R15" si="13">AVERAGE(E2:E13)</f>
        <v>-200.20833333333334</v>
      </c>
      <c r="F15" s="21">
        <f t="shared" si="13"/>
        <v>-1400.3333333333333</v>
      </c>
      <c r="G15" s="21">
        <f t="shared" si="13"/>
        <v>-211.35396825396822</v>
      </c>
      <c r="H15" s="21">
        <f t="shared" si="13"/>
        <v>43.375</v>
      </c>
      <c r="I15" s="21">
        <f t="shared" si="13"/>
        <v>670.79166666666663</v>
      </c>
      <c r="J15" s="21">
        <f t="shared" si="13"/>
        <v>435.5</v>
      </c>
      <c r="K15" s="21">
        <f t="shared" si="13"/>
        <v>26.5</v>
      </c>
      <c r="L15" s="21">
        <f t="shared" si="13"/>
        <v>235.29166666666666</v>
      </c>
      <c r="M15" s="21">
        <f t="shared" si="13"/>
        <v>-16.875</v>
      </c>
      <c r="N15" s="21">
        <f t="shared" si="13"/>
        <v>32.229365079365074</v>
      </c>
      <c r="O15" s="21">
        <f t="shared" si="13"/>
        <v>441.07281746031748</v>
      </c>
      <c r="P15" s="21">
        <f t="shared" si="13"/>
        <v>20.927182539682541</v>
      </c>
      <c r="Q15" s="21">
        <f t="shared" si="13"/>
        <v>229.7188492063492</v>
      </c>
      <c r="R15" s="21">
        <f t="shared" si="13"/>
        <v>-11.302182539682539</v>
      </c>
    </row>
    <row r="16" spans="1:18" x14ac:dyDescent="0.2">
      <c r="A16" s="20"/>
      <c r="B16" s="20" t="s">
        <v>223</v>
      </c>
      <c r="C16" s="14">
        <f>_xlfn.STDEV.P(C2:C13)</f>
        <v>31.672806422334389</v>
      </c>
      <c r="D16" s="21">
        <f>_xlfn.STDEV.P(D2:D13)</f>
        <v>56.034897360682493</v>
      </c>
      <c r="E16" s="21">
        <f t="shared" ref="E16:R16" si="14">_xlfn.STDEV.P(E2:E13)</f>
        <v>70.110168762376318</v>
      </c>
      <c r="F16" s="21">
        <f t="shared" si="14"/>
        <v>53.213928836557656</v>
      </c>
      <c r="G16" s="21">
        <f t="shared" si="14"/>
        <v>74.052643588354158</v>
      </c>
      <c r="H16" s="21">
        <f t="shared" si="14"/>
        <v>69.038070717056783</v>
      </c>
      <c r="I16" s="21">
        <f t="shared" si="14"/>
        <v>57.545437964755777</v>
      </c>
      <c r="J16" s="21">
        <f t="shared" si="14"/>
        <v>42.624205759951316</v>
      </c>
      <c r="K16" s="21">
        <f t="shared" si="14"/>
        <v>52.33854140751982</v>
      </c>
      <c r="L16" s="21">
        <f t="shared" si="14"/>
        <v>47.923206075507466</v>
      </c>
      <c r="M16" s="21">
        <f t="shared" si="14"/>
        <v>31.079116112485139</v>
      </c>
      <c r="N16" s="21">
        <f t="shared" si="14"/>
        <v>72.114349515347271</v>
      </c>
      <c r="O16" s="21">
        <f t="shared" si="14"/>
        <v>44.130064267339812</v>
      </c>
      <c r="P16" s="21">
        <f t="shared" si="14"/>
        <v>53.813186123950814</v>
      </c>
      <c r="Q16" s="21">
        <f t="shared" si="14"/>
        <v>49.499223774218223</v>
      </c>
      <c r="R16" s="21">
        <f t="shared" si="14"/>
        <v>32.038843191245135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1B86-A1ED-824B-B735-7C0E9664E7CB}">
  <dimension ref="A1:R17"/>
  <sheetViews>
    <sheetView zoomScale="58" workbookViewId="0">
      <selection activeCell="C18" sqref="C18"/>
    </sheetView>
  </sheetViews>
  <sheetFormatPr baseColWidth="10" defaultRowHeight="16" x14ac:dyDescent="0.2"/>
  <cols>
    <col min="3" max="3" width="16" customWidth="1"/>
    <col min="4" max="4" width="16.33203125" customWidth="1"/>
    <col min="5" max="5" width="19.1640625" customWidth="1"/>
    <col min="6" max="6" width="17.6640625" customWidth="1"/>
    <col min="7" max="7" width="17.33203125" customWidth="1"/>
    <col min="8" max="8" width="36.5" customWidth="1"/>
    <col min="9" max="9" width="11.33203125" customWidth="1"/>
    <col min="10" max="10" width="25.6640625" customWidth="1"/>
    <col min="11" max="11" width="34.1640625" customWidth="1"/>
    <col min="12" max="12" width="25.1640625" customWidth="1"/>
    <col min="13" max="13" width="37.83203125" customWidth="1"/>
    <col min="14" max="14" width="34.6640625" customWidth="1"/>
    <col min="15" max="15" width="23.83203125" customWidth="1"/>
    <col min="16" max="16" width="32.33203125" customWidth="1"/>
    <col min="17" max="17" width="23.83203125" customWidth="1"/>
    <col min="18" max="18" width="35" customWidth="1"/>
  </cols>
  <sheetData>
    <row r="1" spans="1:18" ht="17" thickBot="1" x14ac:dyDescent="0.25">
      <c r="A1" s="26" t="s">
        <v>220</v>
      </c>
      <c r="B1" s="26" t="s">
        <v>216</v>
      </c>
      <c r="C1" s="27" t="s">
        <v>224</v>
      </c>
      <c r="D1" s="27" t="s">
        <v>238</v>
      </c>
      <c r="E1" s="27" t="s">
        <v>239</v>
      </c>
      <c r="F1" s="27" t="s">
        <v>240</v>
      </c>
      <c r="G1" s="27" t="s">
        <v>241</v>
      </c>
      <c r="H1" s="27" t="s">
        <v>242</v>
      </c>
      <c r="I1" s="27" t="s">
        <v>225</v>
      </c>
      <c r="J1" s="27" t="s">
        <v>243</v>
      </c>
      <c r="K1" s="27" t="s">
        <v>244</v>
      </c>
      <c r="L1" s="27" t="s">
        <v>245</v>
      </c>
      <c r="M1" s="27" t="s">
        <v>246</v>
      </c>
      <c r="N1" s="27" t="s">
        <v>247</v>
      </c>
      <c r="O1" s="27" t="s">
        <v>248</v>
      </c>
      <c r="P1" s="27" t="s">
        <v>249</v>
      </c>
      <c r="Q1" s="27" t="s">
        <v>250</v>
      </c>
      <c r="R1" s="27" t="s">
        <v>251</v>
      </c>
    </row>
    <row r="2" spans="1:18" x14ac:dyDescent="0.2">
      <c r="A2" s="28">
        <v>11</v>
      </c>
      <c r="B2" s="28" t="s">
        <v>43</v>
      </c>
      <c r="C2" s="29">
        <v>426</v>
      </c>
      <c r="D2" s="30">
        <v>207</v>
      </c>
      <c r="E2" s="30">
        <v>-210.5</v>
      </c>
      <c r="F2" s="30">
        <v>-1314</v>
      </c>
      <c r="G2" s="30">
        <v>-221.21904761904761</v>
      </c>
      <c r="H2" s="30">
        <v>8.5</v>
      </c>
      <c r="I2" s="30">
        <v>650</v>
      </c>
      <c r="J2" s="30">
        <v>430.25</v>
      </c>
      <c r="K2" s="30">
        <v>-4.25</v>
      </c>
      <c r="L2" s="30">
        <v>219.75</v>
      </c>
      <c r="M2" s="30">
        <v>-12.75</v>
      </c>
      <c r="N2" s="30">
        <v>-2.2190476190476129</v>
      </c>
      <c r="O2" s="30">
        <v>435.60952380952375</v>
      </c>
      <c r="P2" s="30">
        <v>-9.6095238095238038</v>
      </c>
      <c r="Q2" s="30">
        <v>214.39047619047619</v>
      </c>
      <c r="R2" s="30">
        <v>-7.3904761904761997</v>
      </c>
    </row>
    <row r="3" spans="1:18" x14ac:dyDescent="0.2">
      <c r="A3">
        <v>14</v>
      </c>
      <c r="B3" t="s">
        <v>131</v>
      </c>
      <c r="C3" s="24">
        <v>379</v>
      </c>
      <c r="D3" s="12">
        <v>214</v>
      </c>
      <c r="E3" s="12">
        <v>-52.5</v>
      </c>
      <c r="F3" s="12">
        <v>-1319</v>
      </c>
      <c r="G3" s="12">
        <v>-54.176190476190484</v>
      </c>
      <c r="H3" s="12">
        <v>112.5</v>
      </c>
      <c r="I3" s="12">
        <v>555</v>
      </c>
      <c r="J3" s="12">
        <v>303.75</v>
      </c>
      <c r="K3" s="12">
        <v>75.25</v>
      </c>
      <c r="L3" s="12">
        <v>251.25</v>
      </c>
      <c r="M3" s="12">
        <v>-37.25</v>
      </c>
      <c r="N3" s="12">
        <v>110.8238095238095</v>
      </c>
      <c r="O3" s="12">
        <v>304.58809523809526</v>
      </c>
      <c r="P3" s="12">
        <v>74.411904761904751</v>
      </c>
      <c r="Q3" s="12">
        <v>250.41190476190474</v>
      </c>
      <c r="R3" s="12">
        <v>-36.411904761904751</v>
      </c>
    </row>
    <row r="4" spans="1:18" x14ac:dyDescent="0.2">
      <c r="A4">
        <v>15</v>
      </c>
      <c r="B4" t="s">
        <v>203</v>
      </c>
      <c r="C4" s="24">
        <v>530</v>
      </c>
      <c r="D4" s="12">
        <v>287</v>
      </c>
      <c r="E4" s="12">
        <v>-224</v>
      </c>
      <c r="F4" s="12">
        <v>-1320</v>
      </c>
      <c r="G4" s="12">
        <v>-234.73333333333335</v>
      </c>
      <c r="H4" s="12">
        <v>19</v>
      </c>
      <c r="I4" s="12">
        <v>711</v>
      </c>
      <c r="J4" s="12">
        <v>467.5</v>
      </c>
      <c r="K4" s="12">
        <v>62.5</v>
      </c>
      <c r="L4" s="12">
        <v>243.5</v>
      </c>
      <c r="M4" s="12">
        <v>43.5</v>
      </c>
      <c r="N4" s="12">
        <v>8.2666666666666586</v>
      </c>
      <c r="O4" s="12">
        <v>472.86666666666667</v>
      </c>
      <c r="P4" s="12">
        <v>57.133333333333333</v>
      </c>
      <c r="Q4" s="12">
        <v>238.13333333333335</v>
      </c>
      <c r="R4" s="12">
        <v>48.866666666666674</v>
      </c>
    </row>
    <row r="5" spans="1:18" x14ac:dyDescent="0.2">
      <c r="A5">
        <v>16</v>
      </c>
      <c r="B5" t="s">
        <v>48</v>
      </c>
      <c r="C5" s="24">
        <v>450</v>
      </c>
      <c r="D5" s="12">
        <v>167</v>
      </c>
      <c r="E5" s="12">
        <v>-238.5</v>
      </c>
      <c r="F5" s="12">
        <v>-1323</v>
      </c>
      <c r="G5" s="12">
        <v>-252.02380952380958</v>
      </c>
      <c r="H5" s="12">
        <v>44.5</v>
      </c>
      <c r="I5" s="12">
        <v>704</v>
      </c>
      <c r="J5" s="12">
        <v>471.25</v>
      </c>
      <c r="K5" s="12">
        <v>-21.25</v>
      </c>
      <c r="L5" s="12">
        <v>232.75</v>
      </c>
      <c r="M5" s="12">
        <v>-65.75</v>
      </c>
      <c r="N5" s="12">
        <v>30.976190476190482</v>
      </c>
      <c r="O5" s="12">
        <v>478.01190476190482</v>
      </c>
      <c r="P5" s="12">
        <v>-28.011904761904763</v>
      </c>
      <c r="Q5" s="12">
        <v>225.98809523809521</v>
      </c>
      <c r="R5" s="12">
        <v>-58.988095238095241</v>
      </c>
    </row>
    <row r="6" spans="1:18" x14ac:dyDescent="0.2">
      <c r="A6">
        <v>17</v>
      </c>
      <c r="B6" t="s">
        <v>122</v>
      </c>
      <c r="C6" s="24">
        <v>369</v>
      </c>
      <c r="D6" s="12">
        <v>241</v>
      </c>
      <c r="E6" s="12">
        <v>-26.5</v>
      </c>
      <c r="F6" s="12">
        <v>-1337</v>
      </c>
      <c r="G6" s="12">
        <v>-28.214285714285715</v>
      </c>
      <c r="H6" s="12">
        <v>101.5</v>
      </c>
      <c r="I6" s="12">
        <v>582.5</v>
      </c>
      <c r="J6" s="12">
        <v>304.5</v>
      </c>
      <c r="K6" s="12">
        <v>64.5</v>
      </c>
      <c r="L6" s="12">
        <v>278</v>
      </c>
      <c r="M6" s="12">
        <v>-37</v>
      </c>
      <c r="N6" s="12">
        <v>99.785714285714292</v>
      </c>
      <c r="O6" s="12">
        <v>305.35714285714289</v>
      </c>
      <c r="P6" s="12">
        <v>63.642857142857139</v>
      </c>
      <c r="Q6" s="12">
        <v>277.14285714285711</v>
      </c>
      <c r="R6" s="12">
        <v>-36.142857142857153</v>
      </c>
    </row>
    <row r="7" spans="1:18" x14ac:dyDescent="0.2">
      <c r="A7">
        <v>18</v>
      </c>
      <c r="B7" t="s">
        <v>124</v>
      </c>
      <c r="C7" s="24">
        <v>393</v>
      </c>
      <c r="D7" s="12">
        <v>280</v>
      </c>
      <c r="E7" s="12">
        <v>-126</v>
      </c>
      <c r="F7" s="12">
        <v>-1440</v>
      </c>
      <c r="G7" s="12">
        <v>-134.00952380952381</v>
      </c>
      <c r="H7" s="12">
        <v>-13</v>
      </c>
      <c r="I7" s="12">
        <v>635</v>
      </c>
      <c r="J7" s="12">
        <v>380.5</v>
      </c>
      <c r="K7" s="12">
        <v>12.5</v>
      </c>
      <c r="L7" s="12">
        <v>254.5</v>
      </c>
      <c r="M7" s="12">
        <v>25.5</v>
      </c>
      <c r="N7" s="12">
        <v>-21.009523809523817</v>
      </c>
      <c r="O7" s="12">
        <v>384.50476190476189</v>
      </c>
      <c r="P7" s="12">
        <v>8.4952380952380935</v>
      </c>
      <c r="Q7" s="12">
        <v>250.49523809523811</v>
      </c>
      <c r="R7" s="12">
        <v>29.50476190476191</v>
      </c>
    </row>
    <row r="8" spans="1:18" x14ac:dyDescent="0.2">
      <c r="A8">
        <v>19</v>
      </c>
      <c r="B8" t="s">
        <v>64</v>
      </c>
      <c r="C8" s="24">
        <v>395</v>
      </c>
      <c r="D8" s="12">
        <v>180</v>
      </c>
      <c r="E8" s="12">
        <v>-119.5</v>
      </c>
      <c r="F8" s="12">
        <v>-1330</v>
      </c>
      <c r="G8" s="12">
        <v>-124.62380952380953</v>
      </c>
      <c r="H8" s="12">
        <v>95.5</v>
      </c>
      <c r="I8" s="12">
        <v>590</v>
      </c>
      <c r="J8" s="12">
        <v>354.75</v>
      </c>
      <c r="K8" s="12">
        <v>40.25</v>
      </c>
      <c r="L8" s="12">
        <v>235.25</v>
      </c>
      <c r="M8" s="12">
        <v>-55.25</v>
      </c>
      <c r="N8" s="12">
        <v>90.376190476190487</v>
      </c>
      <c r="O8" s="12">
        <v>357.31190476190477</v>
      </c>
      <c r="P8" s="12">
        <v>37.688095238095229</v>
      </c>
      <c r="Q8" s="12">
        <v>232.68809523809526</v>
      </c>
      <c r="R8" s="12">
        <v>-52.688095238095244</v>
      </c>
    </row>
    <row r="9" spans="1:18" x14ac:dyDescent="0.2">
      <c r="A9">
        <v>20</v>
      </c>
      <c r="B9" t="s">
        <v>218</v>
      </c>
      <c r="C9" s="24">
        <v>414</v>
      </c>
      <c r="D9" s="12">
        <v>264</v>
      </c>
      <c r="E9" s="12">
        <v>-36</v>
      </c>
      <c r="F9" s="12">
        <v>-1107</v>
      </c>
      <c r="G9" s="12">
        <v>-45.166666666666664</v>
      </c>
      <c r="H9" s="12">
        <v>114</v>
      </c>
      <c r="I9" s="12">
        <v>685.5</v>
      </c>
      <c r="J9" s="12">
        <v>360.75</v>
      </c>
      <c r="K9" s="12">
        <v>53.25</v>
      </c>
      <c r="L9" s="12">
        <v>324.75</v>
      </c>
      <c r="M9" s="12">
        <v>-60.75</v>
      </c>
      <c r="N9" s="12">
        <v>104.83333333333333</v>
      </c>
      <c r="O9" s="12">
        <v>365.33333333333331</v>
      </c>
      <c r="P9" s="12">
        <v>48.666666666666664</v>
      </c>
      <c r="Q9" s="12">
        <v>320.16666666666669</v>
      </c>
      <c r="R9" s="12">
        <v>-56.166666666666671</v>
      </c>
    </row>
    <row r="10" spans="1:18" x14ac:dyDescent="0.2">
      <c r="A10">
        <v>21</v>
      </c>
      <c r="B10" t="s">
        <v>15</v>
      </c>
      <c r="C10" s="24">
        <v>347</v>
      </c>
      <c r="D10" s="12">
        <v>265</v>
      </c>
      <c r="E10" s="12">
        <v>-15.5</v>
      </c>
      <c r="F10" s="12">
        <v>-1317</v>
      </c>
      <c r="G10" s="12">
        <v>-14.900000000000007</v>
      </c>
      <c r="H10" s="12">
        <v>66.5</v>
      </c>
      <c r="I10" s="12">
        <v>582</v>
      </c>
      <c r="J10" s="12">
        <v>298.75</v>
      </c>
      <c r="K10" s="12">
        <v>48.25</v>
      </c>
      <c r="L10" s="12">
        <v>283.25</v>
      </c>
      <c r="M10" s="12">
        <v>-18.25</v>
      </c>
      <c r="N10" s="12">
        <v>67.099999999999994</v>
      </c>
      <c r="O10" s="12">
        <v>298.45</v>
      </c>
      <c r="P10" s="12">
        <v>48.55</v>
      </c>
      <c r="Q10" s="12">
        <v>283.55</v>
      </c>
      <c r="R10" s="12">
        <v>-18.549999999999997</v>
      </c>
    </row>
    <row r="11" spans="1:18" x14ac:dyDescent="0.2">
      <c r="A11">
        <v>22</v>
      </c>
      <c r="B11" t="s">
        <v>160</v>
      </c>
      <c r="C11" s="24">
        <v>391</v>
      </c>
      <c r="D11" s="12">
        <v>344</v>
      </c>
      <c r="E11" s="12">
        <v>-26</v>
      </c>
      <c r="F11" s="12">
        <v>-1335</v>
      </c>
      <c r="G11" s="12">
        <v>-27.595238095238084</v>
      </c>
      <c r="H11" s="12">
        <v>21</v>
      </c>
      <c r="I11" s="12">
        <v>674</v>
      </c>
      <c r="J11" s="12">
        <v>350</v>
      </c>
      <c r="K11" s="12">
        <v>41</v>
      </c>
      <c r="L11" s="12">
        <v>324</v>
      </c>
      <c r="M11" s="12">
        <v>20</v>
      </c>
      <c r="N11" s="12">
        <v>19.404761904761912</v>
      </c>
      <c r="O11" s="12">
        <v>350.79761904761904</v>
      </c>
      <c r="P11" s="12">
        <v>40.202380952380949</v>
      </c>
      <c r="Q11" s="12">
        <v>323.20238095238096</v>
      </c>
      <c r="R11" s="12">
        <v>20.797619047619051</v>
      </c>
    </row>
    <row r="12" spans="1:18" x14ac:dyDescent="0.2">
      <c r="A12">
        <v>23</v>
      </c>
      <c r="B12" t="s">
        <v>132</v>
      </c>
      <c r="C12" s="24">
        <v>349</v>
      </c>
      <c r="D12" s="12">
        <v>241</v>
      </c>
      <c r="E12" s="12">
        <v>-125.5</v>
      </c>
      <c r="F12" s="12">
        <v>-1308</v>
      </c>
      <c r="G12" s="12">
        <v>-131.2714285714286</v>
      </c>
      <c r="H12" s="12">
        <v>-17.5</v>
      </c>
      <c r="I12" s="12">
        <v>614</v>
      </c>
      <c r="J12" s="12">
        <v>369.75</v>
      </c>
      <c r="K12" s="12">
        <v>-20.75</v>
      </c>
      <c r="L12" s="12">
        <v>244.25</v>
      </c>
      <c r="M12" s="12">
        <v>-3.25</v>
      </c>
      <c r="N12" s="12">
        <v>-23.271428571428572</v>
      </c>
      <c r="O12" s="12">
        <v>372.63571428571436</v>
      </c>
      <c r="P12" s="12">
        <v>-23.635714285714275</v>
      </c>
      <c r="Q12" s="12">
        <v>241.36428571428567</v>
      </c>
      <c r="R12" s="12">
        <v>-0.36428571428571388</v>
      </c>
    </row>
    <row r="13" spans="1:18" x14ac:dyDescent="0.2">
      <c r="A13">
        <v>24</v>
      </c>
      <c r="B13" t="s">
        <v>100</v>
      </c>
      <c r="C13" s="24">
        <v>471</v>
      </c>
      <c r="D13" s="12">
        <v>285</v>
      </c>
      <c r="E13" s="12">
        <v>-113.5</v>
      </c>
      <c r="F13" s="12">
        <v>-1443</v>
      </c>
      <c r="G13" s="12">
        <v>-119.18095238095239</v>
      </c>
      <c r="H13" s="12">
        <v>72.5</v>
      </c>
      <c r="I13" s="12">
        <v>743.5</v>
      </c>
      <c r="J13" s="12">
        <v>428.5</v>
      </c>
      <c r="K13" s="12">
        <v>42.5</v>
      </c>
      <c r="L13" s="12">
        <v>315</v>
      </c>
      <c r="M13" s="12">
        <v>-30</v>
      </c>
      <c r="N13" s="12">
        <v>66.819047619047609</v>
      </c>
      <c r="O13" s="12">
        <v>431.34047619047624</v>
      </c>
      <c r="P13" s="12">
        <v>39.659523809523805</v>
      </c>
      <c r="Q13" s="12">
        <v>312.15952380952388</v>
      </c>
      <c r="R13" s="12">
        <v>-27.159523809523797</v>
      </c>
    </row>
    <row r="14" spans="1:18" ht="17" thickBot="1" x14ac:dyDescent="0.25">
      <c r="A14">
        <v>25</v>
      </c>
      <c r="B14" t="s">
        <v>219</v>
      </c>
      <c r="C14" s="24">
        <v>422</v>
      </c>
      <c r="D14" s="12">
        <v>273</v>
      </c>
      <c r="E14" s="12">
        <v>-140.5</v>
      </c>
      <c r="F14" s="12">
        <v>-1327</v>
      </c>
      <c r="G14" s="12">
        <v>-147.81428571428572</v>
      </c>
      <c r="H14" s="12">
        <v>8.5</v>
      </c>
      <c r="I14" s="12">
        <v>695.5</v>
      </c>
      <c r="J14" s="12">
        <v>418</v>
      </c>
      <c r="K14" s="12">
        <v>4</v>
      </c>
      <c r="L14" s="12">
        <v>277.5</v>
      </c>
      <c r="M14" s="12">
        <v>-4.5</v>
      </c>
      <c r="N14" s="12">
        <v>1.1857142857142797</v>
      </c>
      <c r="O14" s="12">
        <v>421.6571428571429</v>
      </c>
      <c r="P14" s="12">
        <v>0.34285714285714519</v>
      </c>
      <c r="Q14" s="12">
        <v>273.84285714285716</v>
      </c>
      <c r="R14" s="12">
        <v>-0.84285714285714519</v>
      </c>
    </row>
    <row r="15" spans="1:18" x14ac:dyDescent="0.2">
      <c r="A15" s="15"/>
      <c r="B15" s="15" t="s">
        <v>221</v>
      </c>
      <c r="C15" s="25">
        <f>SUM(C2:C14)</f>
        <v>5336</v>
      </c>
      <c r="D15" s="17">
        <f t="shared" ref="D15:R15" si="0">SUM(D2:D14)</f>
        <v>3248</v>
      </c>
      <c r="E15" s="17">
        <f t="shared" si="0"/>
        <v>-1454.5</v>
      </c>
      <c r="F15" s="17">
        <f t="shared" si="0"/>
        <v>-17220</v>
      </c>
      <c r="G15" s="17">
        <f t="shared" si="0"/>
        <v>-1534.9285714285716</v>
      </c>
      <c r="H15" s="17">
        <f t="shared" si="0"/>
        <v>633.5</v>
      </c>
      <c r="I15" s="17">
        <f t="shared" si="0"/>
        <v>8422</v>
      </c>
      <c r="J15" s="17">
        <f>SUM(J2:J14)</f>
        <v>4938.25</v>
      </c>
      <c r="K15" s="17">
        <f t="shared" si="0"/>
        <v>397.75</v>
      </c>
      <c r="L15" s="17">
        <f t="shared" si="0"/>
        <v>3483.75</v>
      </c>
      <c r="M15" s="17">
        <f t="shared" si="0"/>
        <v>-235.75</v>
      </c>
      <c r="N15" s="17">
        <f t="shared" si="0"/>
        <v>553.07142857142856</v>
      </c>
      <c r="O15" s="17">
        <f t="shared" si="0"/>
        <v>4978.4642857142853</v>
      </c>
      <c r="P15" s="17">
        <f t="shared" si="0"/>
        <v>357.53571428571428</v>
      </c>
      <c r="Q15" s="17">
        <f t="shared" si="0"/>
        <v>3443.5357142857147</v>
      </c>
      <c r="R15" s="17">
        <f t="shared" si="0"/>
        <v>-195.53571428571431</v>
      </c>
    </row>
    <row r="16" spans="1:18" x14ac:dyDescent="0.2">
      <c r="B16" t="s">
        <v>26</v>
      </c>
      <c r="C16" s="24">
        <f>AVERAGE(C2:C14)</f>
        <v>410.46153846153845</v>
      </c>
      <c r="D16" s="12">
        <f t="shared" ref="D16:R16" si="1">AVERAGE(D2:D14)</f>
        <v>249.84615384615384</v>
      </c>
      <c r="E16" s="12">
        <f t="shared" si="1"/>
        <v>-111.88461538461539</v>
      </c>
      <c r="F16" s="12">
        <f t="shared" si="1"/>
        <v>-1324.6153846153845</v>
      </c>
      <c r="G16" s="12">
        <f t="shared" si="1"/>
        <v>-118.07142857142858</v>
      </c>
      <c r="H16" s="12">
        <f t="shared" si="1"/>
        <v>48.730769230769234</v>
      </c>
      <c r="I16" s="12">
        <f t="shared" si="1"/>
        <v>647.84615384615381</v>
      </c>
      <c r="J16" s="12">
        <f>AVERAGE(J2:J14)</f>
        <v>379.86538461538464</v>
      </c>
      <c r="K16" s="12">
        <f t="shared" si="1"/>
        <v>30.596153846153847</v>
      </c>
      <c r="L16" s="12">
        <f t="shared" si="1"/>
        <v>267.98076923076923</v>
      </c>
      <c r="M16" s="12">
        <f t="shared" si="1"/>
        <v>-18.134615384615383</v>
      </c>
      <c r="N16" s="12">
        <f t="shared" si="1"/>
        <v>42.543956043956044</v>
      </c>
      <c r="O16" s="12">
        <f t="shared" si="1"/>
        <v>382.95879120879118</v>
      </c>
      <c r="P16" s="12">
        <f t="shared" si="1"/>
        <v>27.502747252747252</v>
      </c>
      <c r="Q16" s="12">
        <f t="shared" si="1"/>
        <v>264.88736263736268</v>
      </c>
      <c r="R16" s="12">
        <f t="shared" si="1"/>
        <v>-15.041208791208792</v>
      </c>
    </row>
    <row r="17" spans="2:18" x14ac:dyDescent="0.2">
      <c r="B17" t="s">
        <v>223</v>
      </c>
      <c r="C17" s="24">
        <f>_xlfn.STDEV.P(C2:C14)</f>
        <v>49.100548930999167</v>
      </c>
      <c r="D17" s="12">
        <f t="shared" ref="D17:R17" si="2">_xlfn.STDEV.P(D2:D14)</f>
        <v>46.719862608211699</v>
      </c>
      <c r="E17" s="12">
        <f t="shared" si="2"/>
        <v>74.849632301176356</v>
      </c>
      <c r="F17" s="12">
        <f t="shared" si="2"/>
        <v>76.199675409704852</v>
      </c>
      <c r="G17" s="12">
        <f t="shared" si="2"/>
        <v>78.37387391873537</v>
      </c>
      <c r="H17" s="12">
        <f t="shared" si="2"/>
        <v>45.812584509152984</v>
      </c>
      <c r="I17" s="12">
        <f t="shared" si="2"/>
        <v>57.211948931947042</v>
      </c>
      <c r="J17" s="12">
        <f>_xlfn.STDEV.P(J2:J14)</f>
        <v>57.132236571145206</v>
      </c>
      <c r="K17" s="12">
        <f t="shared" si="2"/>
        <v>31.504355385946617</v>
      </c>
      <c r="L17" s="12">
        <f t="shared" si="2"/>
        <v>34.259959464150086</v>
      </c>
      <c r="M17" s="12">
        <f t="shared" si="2"/>
        <v>32.718439782103729</v>
      </c>
      <c r="N17" s="12">
        <f t="shared" si="2"/>
        <v>47.416350800434685</v>
      </c>
      <c r="O17" s="12">
        <f t="shared" si="2"/>
        <v>58.930470153927494</v>
      </c>
      <c r="P17" s="12">
        <f t="shared" si="2"/>
        <v>32.653825700066136</v>
      </c>
      <c r="Q17" s="12">
        <f t="shared" si="2"/>
        <v>35.143068936105259</v>
      </c>
      <c r="R17" s="12">
        <f t="shared" si="2"/>
        <v>32.733882890968978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B5B-A3DB-FD4F-82F3-F2FFAEDC21B6}">
  <dimension ref="A1:R16"/>
  <sheetViews>
    <sheetView zoomScale="48" workbookViewId="0">
      <selection activeCell="D14" sqref="D14"/>
    </sheetView>
  </sheetViews>
  <sheetFormatPr baseColWidth="10" defaultRowHeight="16" x14ac:dyDescent="0.2"/>
  <cols>
    <col min="1" max="1" width="8.5" bestFit="1" customWidth="1"/>
    <col min="2" max="2" width="12.1640625" bestFit="1" customWidth="1"/>
    <col min="3" max="3" width="20.1640625" bestFit="1" customWidth="1"/>
    <col min="4" max="4" width="20.5" bestFit="1" customWidth="1"/>
    <col min="5" max="5" width="23.1640625" bestFit="1" customWidth="1"/>
    <col min="6" max="6" width="21.1640625" bestFit="1" customWidth="1"/>
    <col min="7" max="7" width="20.83203125" bestFit="1" customWidth="1"/>
    <col min="8" max="8" width="42.5" bestFit="1" customWidth="1"/>
    <col min="9" max="9" width="15.1640625" bestFit="1" customWidth="1"/>
    <col min="10" max="10" width="31.1640625" bestFit="1" customWidth="1"/>
    <col min="11" max="11" width="41.1640625" bestFit="1" customWidth="1"/>
    <col min="12" max="12" width="29.83203125" bestFit="1" customWidth="1"/>
    <col min="13" max="13" width="44.83203125" bestFit="1" customWidth="1"/>
    <col min="14" max="14" width="40.5" bestFit="1" customWidth="1"/>
    <col min="15" max="15" width="29.1640625" bestFit="1" customWidth="1"/>
    <col min="16" max="16" width="39.1640625" bestFit="1" customWidth="1"/>
    <col min="17" max="17" width="28.5" bestFit="1" customWidth="1"/>
    <col min="18" max="18" width="41.1640625" bestFit="1" customWidth="1"/>
  </cols>
  <sheetData>
    <row r="1" spans="1:18" ht="17" thickBot="1" x14ac:dyDescent="0.25">
      <c r="A1" s="13" t="s">
        <v>220</v>
      </c>
      <c r="B1" s="13" t="s">
        <v>216</v>
      </c>
      <c r="C1" s="1" t="s">
        <v>224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225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</row>
    <row r="2" spans="1:18" x14ac:dyDescent="0.2">
      <c r="A2" s="15">
        <v>1</v>
      </c>
      <c r="B2" s="15" t="s">
        <v>24</v>
      </c>
      <c r="C2" s="16">
        <v>35.92307692307692</v>
      </c>
      <c r="D2" s="17">
        <v>17.76923076923077</v>
      </c>
      <c r="E2" s="17">
        <v>-19.423076923076923</v>
      </c>
      <c r="F2" s="17">
        <v>-110.53846153846153</v>
      </c>
      <c r="G2" s="17">
        <v>-20.425274725274729</v>
      </c>
      <c r="H2" s="17">
        <v>-1.2692307692307692</v>
      </c>
      <c r="I2" s="17">
        <v>53.92307692307692</v>
      </c>
      <c r="J2" s="17">
        <v>36.67307692307692</v>
      </c>
      <c r="K2" s="17">
        <v>-0.75</v>
      </c>
      <c r="L2" s="17">
        <v>17.25</v>
      </c>
      <c r="M2" s="17">
        <v>0.51923076923076927</v>
      </c>
      <c r="N2" s="17">
        <v>-2.2714285714285714</v>
      </c>
      <c r="O2" s="17">
        <v>37.174175824175826</v>
      </c>
      <c r="P2" s="17">
        <v>-1.2510989010989007</v>
      </c>
      <c r="Q2" s="17">
        <v>16.748901098901097</v>
      </c>
      <c r="R2" s="17">
        <v>1.0203296703296707</v>
      </c>
    </row>
    <row r="3" spans="1:18" x14ac:dyDescent="0.2">
      <c r="A3">
        <v>2</v>
      </c>
      <c r="B3" t="s">
        <v>72</v>
      </c>
      <c r="C3" s="14">
        <v>33.153846153846153</v>
      </c>
      <c r="D3" s="12">
        <v>20.384615384615383</v>
      </c>
      <c r="E3" s="12">
        <v>-17.03846153846154</v>
      </c>
      <c r="F3" s="12">
        <v>-110.84615384615384</v>
      </c>
      <c r="G3" s="12">
        <v>-18.104761904761904</v>
      </c>
      <c r="H3" s="12">
        <v>-4.2692307692307692</v>
      </c>
      <c r="I3" s="12">
        <v>52.615384615384613</v>
      </c>
      <c r="J3" s="12">
        <v>34.82692307692308</v>
      </c>
      <c r="K3" s="12">
        <v>-1.6730769230769231</v>
      </c>
      <c r="L3" s="12">
        <v>17.78846153846154</v>
      </c>
      <c r="M3" s="12">
        <v>2.5961538461538463</v>
      </c>
      <c r="N3" s="12">
        <v>-5.3355311355311352</v>
      </c>
      <c r="O3" s="12">
        <v>35.360073260073257</v>
      </c>
      <c r="P3" s="12">
        <v>-2.2062271062271055</v>
      </c>
      <c r="Q3" s="12">
        <v>17.255311355311356</v>
      </c>
      <c r="R3" s="12">
        <v>3.1293040293040288</v>
      </c>
    </row>
    <row r="4" spans="1:18" x14ac:dyDescent="0.2">
      <c r="A4">
        <v>3</v>
      </c>
      <c r="B4" t="s">
        <v>187</v>
      </c>
      <c r="C4" s="14">
        <v>39.833333333333336</v>
      </c>
      <c r="D4" s="12">
        <v>13.583333333333334</v>
      </c>
      <c r="E4" s="12">
        <v>-15.291666666666666</v>
      </c>
      <c r="F4" s="12">
        <v>-111.66666666666667</v>
      </c>
      <c r="G4" s="12">
        <v>-16.198809523809526</v>
      </c>
      <c r="H4" s="12">
        <v>10.958333333333334</v>
      </c>
      <c r="I4" s="12">
        <v>47.208333333333336</v>
      </c>
      <c r="J4" s="12">
        <v>31.25</v>
      </c>
      <c r="K4" s="12">
        <v>8.5833333333333339</v>
      </c>
      <c r="L4" s="12">
        <v>15.958333333333334</v>
      </c>
      <c r="M4" s="12">
        <v>-2.375</v>
      </c>
      <c r="N4" s="12">
        <v>10.051190476190476</v>
      </c>
      <c r="O4" s="12">
        <v>31.703571428571433</v>
      </c>
      <c r="P4" s="12">
        <v>8.1297619047619047</v>
      </c>
      <c r="Q4" s="12">
        <v>15.504761904761907</v>
      </c>
      <c r="R4" s="12">
        <v>-1.921428571428571</v>
      </c>
    </row>
    <row r="5" spans="1:18" x14ac:dyDescent="0.2">
      <c r="A5">
        <v>4</v>
      </c>
      <c r="B5" t="s">
        <v>46</v>
      </c>
      <c r="C5" s="14">
        <v>33.615384615384613</v>
      </c>
      <c r="D5" s="12">
        <v>11.692307692307692</v>
      </c>
      <c r="E5" s="12">
        <v>-21.384615384615383</v>
      </c>
      <c r="F5" s="12">
        <v>-110.38461538461539</v>
      </c>
      <c r="G5" s="12">
        <v>-22.554212454212458</v>
      </c>
      <c r="H5" s="12">
        <v>0.53846153846153844</v>
      </c>
      <c r="I5" s="12">
        <v>52.46153846153846</v>
      </c>
      <c r="J5" s="12">
        <v>36.92307692307692</v>
      </c>
      <c r="K5" s="12">
        <v>-3.3076923076923075</v>
      </c>
      <c r="L5" s="12">
        <v>15.538461538461538</v>
      </c>
      <c r="M5" s="12">
        <v>-3.8461538461538463</v>
      </c>
      <c r="N5" s="12">
        <v>-0.63113553113553145</v>
      </c>
      <c r="O5" s="12">
        <v>37.507875457875457</v>
      </c>
      <c r="P5" s="12">
        <v>-3.8924908424908433</v>
      </c>
      <c r="Q5" s="12">
        <v>14.953663003662999</v>
      </c>
      <c r="R5" s="12">
        <v>-3.2613553113553104</v>
      </c>
    </row>
    <row r="6" spans="1:18" x14ac:dyDescent="0.2">
      <c r="A6">
        <v>5</v>
      </c>
      <c r="B6" t="s">
        <v>37</v>
      </c>
      <c r="C6" s="14">
        <v>33.615384615384613</v>
      </c>
      <c r="D6" s="12">
        <v>16.384615384615383</v>
      </c>
      <c r="E6" s="12">
        <v>-17.307692307692307</v>
      </c>
      <c r="F6" s="12">
        <v>-109.69230769230769</v>
      </c>
      <c r="G6" s="12">
        <v>-18.293772893772893</v>
      </c>
      <c r="H6" s="12">
        <v>-7.6923076923076927E-2</v>
      </c>
      <c r="I6" s="12">
        <v>49.807692307692307</v>
      </c>
      <c r="J6" s="12">
        <v>33.557692307692307</v>
      </c>
      <c r="K6" s="12">
        <v>5.7692307692307696E-2</v>
      </c>
      <c r="L6" s="12">
        <v>16.25</v>
      </c>
      <c r="M6" s="12">
        <v>0.13461538461538461</v>
      </c>
      <c r="N6" s="12">
        <v>-1.0630036630036632</v>
      </c>
      <c r="O6" s="12">
        <v>34.050732600732594</v>
      </c>
      <c r="P6" s="12">
        <v>-0.43534798534798497</v>
      </c>
      <c r="Q6" s="12">
        <v>15.756959706959707</v>
      </c>
      <c r="R6" s="12">
        <v>0.62765567765567787</v>
      </c>
    </row>
    <row r="7" spans="1:18" x14ac:dyDescent="0.2">
      <c r="A7">
        <v>6</v>
      </c>
      <c r="B7" t="s">
        <v>19</v>
      </c>
      <c r="C7" s="14">
        <v>35.5</v>
      </c>
      <c r="D7" s="12">
        <v>10.916666666666666</v>
      </c>
      <c r="E7" s="12">
        <v>-24.458333333333332</v>
      </c>
      <c r="F7" s="12">
        <v>-110.83333333333333</v>
      </c>
      <c r="G7" s="12">
        <v>-25.848412698412691</v>
      </c>
      <c r="H7" s="12">
        <v>0.125</v>
      </c>
      <c r="I7" s="12">
        <v>50.291666666666664</v>
      </c>
      <c r="J7" s="12">
        <v>37.375</v>
      </c>
      <c r="K7" s="12">
        <v>-1.875</v>
      </c>
      <c r="L7" s="12">
        <v>12.916666666666666</v>
      </c>
      <c r="M7" s="12">
        <v>-2</v>
      </c>
      <c r="N7" s="12">
        <v>-1.265079365079365</v>
      </c>
      <c r="O7" s="12">
        <v>38.070039682539679</v>
      </c>
      <c r="P7" s="12">
        <v>-2.5700396825396821</v>
      </c>
      <c r="Q7" s="12">
        <v>12.221626984126987</v>
      </c>
      <c r="R7" s="12">
        <v>-1.3049603174603173</v>
      </c>
    </row>
    <row r="8" spans="1:18" x14ac:dyDescent="0.2">
      <c r="A8">
        <v>7</v>
      </c>
      <c r="B8" t="s">
        <v>49</v>
      </c>
      <c r="C8" s="14">
        <v>37.25</v>
      </c>
      <c r="D8" s="12">
        <v>13.916666666666666</v>
      </c>
      <c r="E8" s="12">
        <v>-17.708333333333332</v>
      </c>
      <c r="F8" s="12">
        <v>-109.83333333333333</v>
      </c>
      <c r="G8" s="12">
        <v>-18.61984126984127</v>
      </c>
      <c r="H8" s="12">
        <v>5.625</v>
      </c>
      <c r="I8" s="12">
        <v>55</v>
      </c>
      <c r="J8" s="12">
        <v>36.354166666666664</v>
      </c>
      <c r="K8" s="12">
        <v>0.89583333333333337</v>
      </c>
      <c r="L8" s="12">
        <v>18.645833333333332</v>
      </c>
      <c r="M8" s="12">
        <v>-4.729166666666667</v>
      </c>
      <c r="N8" s="12">
        <v>4.7134920634920636</v>
      </c>
      <c r="O8" s="12">
        <v>36.809920634920637</v>
      </c>
      <c r="P8" s="12">
        <v>0.44007936507936485</v>
      </c>
      <c r="Q8" s="12">
        <v>18.190079365079367</v>
      </c>
      <c r="R8" s="12">
        <v>-4.2734126984126988</v>
      </c>
    </row>
    <row r="9" spans="1:18" x14ac:dyDescent="0.2">
      <c r="A9">
        <v>8</v>
      </c>
      <c r="B9" t="s">
        <v>33</v>
      </c>
      <c r="C9" s="14">
        <v>39.07692307692308</v>
      </c>
      <c r="D9" s="12">
        <v>21.923076923076923</v>
      </c>
      <c r="E9" s="12">
        <v>-15.653846153846153</v>
      </c>
      <c r="F9" s="12">
        <v>-110.76923076923077</v>
      </c>
      <c r="G9" s="12">
        <v>-16.461904761904762</v>
      </c>
      <c r="H9" s="12">
        <v>1.5</v>
      </c>
      <c r="I9" s="12">
        <v>61.07692307692308</v>
      </c>
      <c r="J9" s="12">
        <v>38.365384615384613</v>
      </c>
      <c r="K9" s="12">
        <v>0.71153846153846156</v>
      </c>
      <c r="L9" s="12">
        <v>22.71153846153846</v>
      </c>
      <c r="M9" s="12">
        <v>-0.78846153846153844</v>
      </c>
      <c r="N9" s="12">
        <v>0.69194139194139148</v>
      </c>
      <c r="O9" s="12">
        <v>38.769413919413914</v>
      </c>
      <c r="P9" s="12">
        <v>0.30750915750915742</v>
      </c>
      <c r="Q9" s="12">
        <v>22.307509157509159</v>
      </c>
      <c r="R9" s="12">
        <v>-0.38443223443223434</v>
      </c>
    </row>
    <row r="10" spans="1:18" x14ac:dyDescent="0.2">
      <c r="A10">
        <v>9</v>
      </c>
      <c r="B10" t="s">
        <v>86</v>
      </c>
      <c r="C10" s="14">
        <v>43.333333333333336</v>
      </c>
      <c r="D10" s="12">
        <v>14.666666666666666</v>
      </c>
      <c r="E10" s="12">
        <v>-14.625</v>
      </c>
      <c r="F10" s="12">
        <v>-109.58333333333333</v>
      </c>
      <c r="G10" s="12">
        <v>-15.245634920634922</v>
      </c>
      <c r="H10" s="12">
        <v>14.041666666666666</v>
      </c>
      <c r="I10" s="12">
        <v>50.541666666666664</v>
      </c>
      <c r="J10" s="12">
        <v>32.583333333333336</v>
      </c>
      <c r="K10" s="12">
        <v>10.75</v>
      </c>
      <c r="L10" s="12">
        <v>17.958333333333332</v>
      </c>
      <c r="M10" s="12">
        <v>-3.2916666666666665</v>
      </c>
      <c r="N10" s="12">
        <v>13.421031746031744</v>
      </c>
      <c r="O10" s="12">
        <v>32.893650793650799</v>
      </c>
      <c r="P10" s="12">
        <v>10.439682539682538</v>
      </c>
      <c r="Q10" s="12">
        <v>17.648015873015868</v>
      </c>
      <c r="R10" s="12">
        <v>-2.981349206349206</v>
      </c>
    </row>
    <row r="11" spans="1:18" x14ac:dyDescent="0.2">
      <c r="A11">
        <v>10</v>
      </c>
      <c r="B11" t="s">
        <v>217</v>
      </c>
      <c r="C11" s="14">
        <v>33.07692307692308</v>
      </c>
      <c r="D11" s="12">
        <v>21.307692307692307</v>
      </c>
      <c r="E11" s="12">
        <v>-0.38461538461538464</v>
      </c>
      <c r="F11" s="12">
        <v>-110.53846153846153</v>
      </c>
      <c r="G11" s="12">
        <v>-0.37948717948717953</v>
      </c>
      <c r="H11" s="12">
        <v>11.384615384615385</v>
      </c>
      <c r="I11" s="12">
        <v>52.92307692307692</v>
      </c>
      <c r="J11" s="12">
        <v>26.653846153846153</v>
      </c>
      <c r="K11" s="12">
        <v>6.4230769230769234</v>
      </c>
      <c r="L11" s="12">
        <v>26.26923076923077</v>
      </c>
      <c r="M11" s="12">
        <v>-4.9615384615384617</v>
      </c>
      <c r="N11" s="12">
        <v>11.38974358974359</v>
      </c>
      <c r="O11" s="12">
        <v>26.651282051282053</v>
      </c>
      <c r="P11" s="12">
        <v>6.4256410256410259</v>
      </c>
      <c r="Q11" s="12">
        <v>26.271794871794871</v>
      </c>
      <c r="R11" s="12">
        <v>-4.9641025641025642</v>
      </c>
    </row>
    <row r="12" spans="1:18" x14ac:dyDescent="0.2">
      <c r="A12">
        <v>12</v>
      </c>
      <c r="B12" t="s">
        <v>150</v>
      </c>
      <c r="C12" s="14">
        <v>38.53846153846154</v>
      </c>
      <c r="D12" s="12">
        <v>20.846153846153847</v>
      </c>
      <c r="E12" s="12">
        <v>-13</v>
      </c>
      <c r="F12" s="12">
        <v>-111</v>
      </c>
      <c r="G12" s="12">
        <v>-13.843223443223444</v>
      </c>
      <c r="H12" s="12">
        <v>4.6923076923076925</v>
      </c>
      <c r="I12" s="12">
        <v>54.846153846153847</v>
      </c>
      <c r="J12" s="12">
        <v>33.92307692307692</v>
      </c>
      <c r="K12" s="12">
        <v>4.615384615384615</v>
      </c>
      <c r="L12" s="12">
        <v>20.923076923076923</v>
      </c>
      <c r="M12" s="12">
        <v>-7.6923076923076927E-2</v>
      </c>
      <c r="N12" s="12">
        <v>3.8490842490842492</v>
      </c>
      <c r="O12" s="12">
        <v>34.344688644688645</v>
      </c>
      <c r="P12" s="12">
        <v>4.193772893772894</v>
      </c>
      <c r="Q12" s="12">
        <v>20.501465201465201</v>
      </c>
      <c r="R12" s="12">
        <v>0.34468864468864469</v>
      </c>
    </row>
    <row r="13" spans="1:18" ht="17" thickBot="1" x14ac:dyDescent="0.25">
      <c r="A13" s="18">
        <v>13</v>
      </c>
      <c r="B13" s="18" t="s">
        <v>40</v>
      </c>
      <c r="C13" s="19">
        <v>35.53846153846154</v>
      </c>
      <c r="D13" s="21">
        <v>22.307692307692307</v>
      </c>
      <c r="E13" s="21">
        <v>-14.076923076923077</v>
      </c>
      <c r="F13" s="21">
        <v>-110.92307692307692</v>
      </c>
      <c r="G13" s="21">
        <v>-14.960073260073257</v>
      </c>
      <c r="H13" s="21">
        <v>-0.84615384615384615</v>
      </c>
      <c r="I13" s="21">
        <v>54.115384615384613</v>
      </c>
      <c r="J13" s="21">
        <v>34.096153846153847</v>
      </c>
      <c r="K13" s="21">
        <v>1.4423076923076923</v>
      </c>
      <c r="L13" s="21">
        <v>20.01923076923077</v>
      </c>
      <c r="M13" s="21">
        <v>2.2884615384615383</v>
      </c>
      <c r="N13" s="21">
        <v>-1.7293040293040294</v>
      </c>
      <c r="O13" s="21">
        <v>34.537728937728943</v>
      </c>
      <c r="P13" s="21">
        <v>1.0007326007326018</v>
      </c>
      <c r="Q13" s="21">
        <v>19.577655677655677</v>
      </c>
      <c r="R13" s="21">
        <v>2.7300366300366292</v>
      </c>
    </row>
    <row r="14" spans="1:18" x14ac:dyDescent="0.2">
      <c r="A14" s="20"/>
      <c r="B14" s="20" t="s">
        <v>221</v>
      </c>
      <c r="C14" s="16">
        <f>SUM(C2:C13)</f>
        <v>438.45512820512823</v>
      </c>
      <c r="D14" s="17">
        <f t="shared" ref="D14:R14" si="0">SUM(D2:D13)</f>
        <v>205.69871794871796</v>
      </c>
      <c r="E14" s="17">
        <f>SUM(E2:E13)</f>
        <v>-190.35256410256409</v>
      </c>
      <c r="F14" s="17">
        <f t="shared" si="0"/>
        <v>-1326.6089743589746</v>
      </c>
      <c r="G14" s="17">
        <f t="shared" si="0"/>
        <v>-200.93540903540904</v>
      </c>
      <c r="H14" s="17">
        <f t="shared" si="0"/>
        <v>42.403846153846153</v>
      </c>
      <c r="I14" s="17">
        <f t="shared" si="0"/>
        <v>634.81089743589746</v>
      </c>
      <c r="J14" s="17">
        <f t="shared" si="0"/>
        <v>412.58173076923072</v>
      </c>
      <c r="K14" s="17">
        <f t="shared" si="0"/>
        <v>25.873397435897438</v>
      </c>
      <c r="L14" s="17">
        <f t="shared" si="0"/>
        <v>222.22916666666669</v>
      </c>
      <c r="M14" s="17">
        <f t="shared" si="0"/>
        <v>-16.530448717948723</v>
      </c>
      <c r="N14" s="17">
        <f t="shared" si="0"/>
        <v>31.821001221001222</v>
      </c>
      <c r="O14" s="17">
        <f t="shared" si="0"/>
        <v>417.87315323565326</v>
      </c>
      <c r="P14" s="17">
        <f t="shared" si="0"/>
        <v>20.581974969474967</v>
      </c>
      <c r="Q14" s="17">
        <f t="shared" si="0"/>
        <v>216.9377442002442</v>
      </c>
      <c r="R14" s="17">
        <f t="shared" si="0"/>
        <v>-11.23902625152625</v>
      </c>
    </row>
    <row r="15" spans="1:18" x14ac:dyDescent="0.2">
      <c r="A15" s="20"/>
      <c r="B15" s="20" t="s">
        <v>26</v>
      </c>
      <c r="C15" s="14">
        <f>AVERAGE(C2:C13)</f>
        <v>36.537927350427353</v>
      </c>
      <c r="D15" s="21">
        <f>AVERAGE(D2:D13)</f>
        <v>17.14155982905983</v>
      </c>
      <c r="E15" s="21">
        <f t="shared" ref="E15:R15" si="1">AVERAGE(E2:E13)</f>
        <v>-15.862713675213675</v>
      </c>
      <c r="F15" s="21">
        <f t="shared" si="1"/>
        <v>-110.55074786324788</v>
      </c>
      <c r="G15" s="21">
        <f t="shared" si="1"/>
        <v>-16.74461741961742</v>
      </c>
      <c r="H15" s="21">
        <f t="shared" si="1"/>
        <v>3.5336538461538463</v>
      </c>
      <c r="I15" s="21">
        <f t="shared" si="1"/>
        <v>52.900908119658119</v>
      </c>
      <c r="J15" s="21">
        <f t="shared" si="1"/>
        <v>34.381810897435891</v>
      </c>
      <c r="K15" s="21">
        <f t="shared" si="1"/>
        <v>2.1561164529914532</v>
      </c>
      <c r="L15" s="21">
        <f t="shared" si="1"/>
        <v>18.519097222222225</v>
      </c>
      <c r="M15" s="21">
        <f t="shared" si="1"/>
        <v>-1.3775373931623935</v>
      </c>
      <c r="N15" s="21">
        <f t="shared" si="1"/>
        <v>2.651750101750102</v>
      </c>
      <c r="O15" s="21">
        <f t="shared" si="1"/>
        <v>34.82276276963777</v>
      </c>
      <c r="P15" s="21">
        <f t="shared" si="1"/>
        <v>1.7151645807895806</v>
      </c>
      <c r="Q15" s="21">
        <f t="shared" si="1"/>
        <v>18.07814535002035</v>
      </c>
      <c r="R15" s="21">
        <f t="shared" si="1"/>
        <v>-0.93658552096052083</v>
      </c>
    </row>
    <row r="16" spans="1:18" x14ac:dyDescent="0.2">
      <c r="A16" s="20"/>
      <c r="B16" s="20" t="s">
        <v>223</v>
      </c>
      <c r="C16" s="14">
        <f>_xlfn.STDEV.P(C2:C13)</f>
        <v>3.0408367982658393</v>
      </c>
      <c r="D16" s="21">
        <f>_xlfn.STDEV.P(D2:D13)</f>
        <v>3.9764567960245856</v>
      </c>
      <c r="E16" s="21">
        <f t="shared" ref="E16:R16" si="2">_xlfn.STDEV.P(E2:E13)</f>
        <v>5.6034682732412522</v>
      </c>
      <c r="F16" s="21">
        <f t="shared" si="2"/>
        <v>0.5785024578855984</v>
      </c>
      <c r="G16" s="21">
        <f t="shared" si="2"/>
        <v>5.9160024172871859</v>
      </c>
      <c r="H16" s="21">
        <f t="shared" si="2"/>
        <v>5.5811852051476967</v>
      </c>
      <c r="I16" s="21">
        <f t="shared" si="2"/>
        <v>3.3188826462628223</v>
      </c>
      <c r="J16" s="21">
        <f t="shared" si="2"/>
        <v>3.0870656793075635</v>
      </c>
      <c r="K16" s="21">
        <f t="shared" si="2"/>
        <v>4.254588400875714</v>
      </c>
      <c r="L16" s="21">
        <f t="shared" si="2"/>
        <v>3.4171544954953674</v>
      </c>
      <c r="M16" s="21">
        <f t="shared" si="2"/>
        <v>2.4558017282420903</v>
      </c>
      <c r="N16" s="21">
        <f t="shared" si="2"/>
        <v>5.800525738639803</v>
      </c>
      <c r="O16" s="21">
        <f t="shared" si="2"/>
        <v>3.2174924190261223</v>
      </c>
      <c r="P16" s="21">
        <f t="shared" si="2"/>
        <v>4.3619913278550939</v>
      </c>
      <c r="Q16" s="21">
        <f t="shared" si="2"/>
        <v>3.5573551754099002</v>
      </c>
      <c r="R16" s="21">
        <f t="shared" si="2"/>
        <v>2.520664896461168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43DC-68BF-294F-BD36-9E4290274BC9}">
  <dimension ref="A1:R17"/>
  <sheetViews>
    <sheetView zoomScale="58" workbookViewId="0">
      <selection activeCell="E31" sqref="E31"/>
    </sheetView>
  </sheetViews>
  <sheetFormatPr baseColWidth="10" defaultRowHeight="16" x14ac:dyDescent="0.2"/>
  <cols>
    <col min="3" max="3" width="16" customWidth="1"/>
    <col min="4" max="4" width="16.33203125" customWidth="1"/>
    <col min="5" max="5" width="19.1640625" customWidth="1"/>
    <col min="6" max="6" width="17.6640625" customWidth="1"/>
    <col min="7" max="7" width="17.33203125" customWidth="1"/>
    <col min="8" max="8" width="36.5" customWidth="1"/>
    <col min="9" max="9" width="11.33203125" customWidth="1"/>
    <col min="10" max="10" width="25.6640625" customWidth="1"/>
    <col min="11" max="11" width="34.1640625" customWidth="1"/>
    <col min="12" max="12" width="25.1640625" customWidth="1"/>
    <col min="13" max="13" width="37.83203125" customWidth="1"/>
    <col min="14" max="14" width="34.6640625" customWidth="1"/>
    <col min="15" max="15" width="23.83203125" customWidth="1"/>
    <col min="16" max="16" width="32.33203125" customWidth="1"/>
    <col min="17" max="17" width="23.83203125" customWidth="1"/>
    <col min="18" max="18" width="35" customWidth="1"/>
  </cols>
  <sheetData>
    <row r="1" spans="1:18" ht="17" thickBot="1" x14ac:dyDescent="0.25">
      <c r="A1" s="26" t="s">
        <v>220</v>
      </c>
      <c r="B1" s="26" t="s">
        <v>216</v>
      </c>
      <c r="C1" s="27" t="s">
        <v>224</v>
      </c>
      <c r="D1" s="27" t="s">
        <v>238</v>
      </c>
      <c r="E1" s="27" t="s">
        <v>239</v>
      </c>
      <c r="F1" s="27" t="s">
        <v>240</v>
      </c>
      <c r="G1" s="27" t="s">
        <v>241</v>
      </c>
      <c r="H1" s="27" t="s">
        <v>242</v>
      </c>
      <c r="I1" s="27" t="s">
        <v>225</v>
      </c>
      <c r="J1" s="27" t="s">
        <v>243</v>
      </c>
      <c r="K1" s="27" t="s">
        <v>244</v>
      </c>
      <c r="L1" s="27" t="s">
        <v>245</v>
      </c>
      <c r="M1" s="27" t="s">
        <v>246</v>
      </c>
      <c r="N1" s="27" t="s">
        <v>247</v>
      </c>
      <c r="O1" s="27" t="s">
        <v>248</v>
      </c>
      <c r="P1" s="27" t="s">
        <v>249</v>
      </c>
      <c r="Q1" s="27" t="s">
        <v>250</v>
      </c>
      <c r="R1" s="27" t="s">
        <v>251</v>
      </c>
    </row>
    <row r="2" spans="1:18" x14ac:dyDescent="0.2">
      <c r="A2" s="28">
        <v>11</v>
      </c>
      <c r="B2" s="28" t="s">
        <v>43</v>
      </c>
      <c r="C2" s="29">
        <v>35.5</v>
      </c>
      <c r="D2" s="30">
        <v>17.25</v>
      </c>
      <c r="E2" s="30">
        <v>-17.541666666666668</v>
      </c>
      <c r="F2" s="30">
        <v>-109.5</v>
      </c>
      <c r="G2" s="30">
        <v>-18.434920634920633</v>
      </c>
      <c r="H2" s="30">
        <v>0.70833333333333337</v>
      </c>
      <c r="I2" s="30">
        <v>54.166666666666664</v>
      </c>
      <c r="J2" s="30">
        <v>35.854166666666664</v>
      </c>
      <c r="K2" s="30">
        <v>-0.35416666666666669</v>
      </c>
      <c r="L2" s="30">
        <v>18.3125</v>
      </c>
      <c r="M2" s="30">
        <v>-1.0625</v>
      </c>
      <c r="N2" s="30">
        <v>-0.1849206349206344</v>
      </c>
      <c r="O2" s="30">
        <v>36.300793650793644</v>
      </c>
      <c r="P2" s="30">
        <v>-0.80079365079365028</v>
      </c>
      <c r="Q2" s="30">
        <v>17.865873015873017</v>
      </c>
      <c r="R2" s="30">
        <v>-0.61587301587301668</v>
      </c>
    </row>
    <row r="3" spans="1:18" x14ac:dyDescent="0.2">
      <c r="A3">
        <v>14</v>
      </c>
      <c r="B3" t="s">
        <v>131</v>
      </c>
      <c r="C3" s="24">
        <v>31.583333333333332</v>
      </c>
      <c r="D3" s="12">
        <v>17.833333333333332</v>
      </c>
      <c r="E3" s="12">
        <v>-4.375</v>
      </c>
      <c r="F3" s="12">
        <v>-109.91666666666667</v>
      </c>
      <c r="G3" s="12">
        <v>-4.5146825396825401</v>
      </c>
      <c r="H3" s="12">
        <v>9.375</v>
      </c>
      <c r="I3" s="12">
        <v>46.25</v>
      </c>
      <c r="J3" s="12">
        <v>25.3125</v>
      </c>
      <c r="K3" s="12">
        <v>6.270833333333333</v>
      </c>
      <c r="L3" s="12">
        <v>20.9375</v>
      </c>
      <c r="M3" s="12">
        <v>-3.1041666666666665</v>
      </c>
      <c r="N3" s="12">
        <v>9.235317460317459</v>
      </c>
      <c r="O3" s="12">
        <v>25.382341269841273</v>
      </c>
      <c r="P3" s="12">
        <v>6.2009920634920626</v>
      </c>
      <c r="Q3" s="12">
        <v>20.867658730158727</v>
      </c>
      <c r="R3" s="12">
        <v>-3.034325396825396</v>
      </c>
    </row>
    <row r="4" spans="1:18" x14ac:dyDescent="0.2">
      <c r="A4">
        <v>15</v>
      </c>
      <c r="B4" t="s">
        <v>203</v>
      </c>
      <c r="C4" s="24">
        <v>44.166666666666664</v>
      </c>
      <c r="D4" s="12">
        <v>23.916666666666668</v>
      </c>
      <c r="E4" s="12">
        <v>-18.666666666666668</v>
      </c>
      <c r="F4" s="12">
        <v>-110</v>
      </c>
      <c r="G4" s="12">
        <v>-19.561111111111114</v>
      </c>
      <c r="H4" s="12">
        <v>1.5833333333333333</v>
      </c>
      <c r="I4" s="12">
        <v>59.25</v>
      </c>
      <c r="J4" s="12">
        <v>38.958333333333336</v>
      </c>
      <c r="K4" s="12">
        <v>5.208333333333333</v>
      </c>
      <c r="L4" s="12">
        <v>20.291666666666668</v>
      </c>
      <c r="M4" s="12">
        <v>3.625</v>
      </c>
      <c r="N4" s="12">
        <v>0.68888888888888822</v>
      </c>
      <c r="O4" s="12">
        <v>39.405555555555559</v>
      </c>
      <c r="P4" s="12">
        <v>4.7611111111111111</v>
      </c>
      <c r="Q4" s="12">
        <v>19.844444444444445</v>
      </c>
      <c r="R4" s="12">
        <v>4.0722222222222229</v>
      </c>
    </row>
    <row r="5" spans="1:18" x14ac:dyDescent="0.2">
      <c r="A5">
        <v>16</v>
      </c>
      <c r="B5" t="s">
        <v>48</v>
      </c>
      <c r="C5" s="24">
        <v>37.5</v>
      </c>
      <c r="D5" s="12">
        <v>13.916666666666666</v>
      </c>
      <c r="E5" s="12">
        <v>-19.875</v>
      </c>
      <c r="F5" s="12">
        <v>-110.25</v>
      </c>
      <c r="G5" s="12">
        <v>-21.00198412698413</v>
      </c>
      <c r="H5" s="12">
        <v>3.7083333333333335</v>
      </c>
      <c r="I5" s="12">
        <v>58.666666666666664</v>
      </c>
      <c r="J5" s="12">
        <v>39.270833333333336</v>
      </c>
      <c r="K5" s="12">
        <v>-1.7708333333333333</v>
      </c>
      <c r="L5" s="12">
        <v>19.395833333333332</v>
      </c>
      <c r="M5" s="12">
        <v>-5.479166666666667</v>
      </c>
      <c r="N5" s="12">
        <v>2.5813492063492069</v>
      </c>
      <c r="O5" s="12">
        <v>39.834325396825399</v>
      </c>
      <c r="P5" s="12">
        <v>-2.3343253968253967</v>
      </c>
      <c r="Q5" s="12">
        <v>18.832341269841269</v>
      </c>
      <c r="R5" s="12">
        <v>-4.9156746031746037</v>
      </c>
    </row>
    <row r="6" spans="1:18" x14ac:dyDescent="0.2">
      <c r="A6">
        <v>17</v>
      </c>
      <c r="B6" t="s">
        <v>122</v>
      </c>
      <c r="C6" s="24">
        <v>30.75</v>
      </c>
      <c r="D6" s="12">
        <v>20.083333333333332</v>
      </c>
      <c r="E6" s="12">
        <v>-2.2083333333333335</v>
      </c>
      <c r="F6" s="12">
        <v>-111.41666666666667</v>
      </c>
      <c r="G6" s="12">
        <v>-2.3511904761904763</v>
      </c>
      <c r="H6" s="12">
        <v>8.4583333333333339</v>
      </c>
      <c r="I6" s="12">
        <v>48.541666666666664</v>
      </c>
      <c r="J6" s="12">
        <v>25.375</v>
      </c>
      <c r="K6" s="12">
        <v>5.375</v>
      </c>
      <c r="L6" s="12">
        <v>23.166666666666668</v>
      </c>
      <c r="M6" s="12">
        <v>-3.0833333333333335</v>
      </c>
      <c r="N6" s="12">
        <v>8.3154761904761916</v>
      </c>
      <c r="O6" s="12">
        <v>25.446428571428573</v>
      </c>
      <c r="P6" s="12">
        <v>5.3035714285714279</v>
      </c>
      <c r="Q6" s="12">
        <v>23.095238095238091</v>
      </c>
      <c r="R6" s="12">
        <v>-3.0119047619047628</v>
      </c>
    </row>
    <row r="7" spans="1:18" x14ac:dyDescent="0.2">
      <c r="A7">
        <v>18</v>
      </c>
      <c r="B7" t="s">
        <v>124</v>
      </c>
      <c r="C7" s="24">
        <v>30.23076923076923</v>
      </c>
      <c r="D7" s="12">
        <v>21.53846153846154</v>
      </c>
      <c r="E7" s="12">
        <v>-9.6923076923076916</v>
      </c>
      <c r="F7" s="12">
        <v>-110.76923076923077</v>
      </c>
      <c r="G7" s="12">
        <v>-10.308424908424909</v>
      </c>
      <c r="H7" s="12">
        <v>-1</v>
      </c>
      <c r="I7" s="12">
        <v>48.846153846153847</v>
      </c>
      <c r="J7" s="12">
        <v>29.26923076923077</v>
      </c>
      <c r="K7" s="12">
        <v>0.96153846153846156</v>
      </c>
      <c r="L7" s="12">
        <v>19.576923076923077</v>
      </c>
      <c r="M7" s="12">
        <v>1.9615384615384615</v>
      </c>
      <c r="N7" s="12">
        <v>-1.6161172161172166</v>
      </c>
      <c r="O7" s="12">
        <v>29.577289377289375</v>
      </c>
      <c r="P7" s="12">
        <v>0.65347985347985338</v>
      </c>
      <c r="Q7" s="12">
        <v>19.268864468864471</v>
      </c>
      <c r="R7" s="12">
        <v>2.26959706959707</v>
      </c>
    </row>
    <row r="8" spans="1:18" x14ac:dyDescent="0.2">
      <c r="A8">
        <v>19</v>
      </c>
      <c r="B8" t="s">
        <v>64</v>
      </c>
      <c r="C8" s="24">
        <v>32.916666666666664</v>
      </c>
      <c r="D8" s="12">
        <v>15</v>
      </c>
      <c r="E8" s="12">
        <v>-9.9583333333333339</v>
      </c>
      <c r="F8" s="12">
        <v>-110.83333333333333</v>
      </c>
      <c r="G8" s="12">
        <v>-10.385317460317461</v>
      </c>
      <c r="H8" s="12">
        <v>7.958333333333333</v>
      </c>
      <c r="I8" s="12">
        <v>49.166666666666664</v>
      </c>
      <c r="J8" s="12">
        <v>29.5625</v>
      </c>
      <c r="K8" s="12">
        <v>3.3541666666666665</v>
      </c>
      <c r="L8" s="12">
        <v>19.604166666666668</v>
      </c>
      <c r="M8" s="12">
        <v>-4.604166666666667</v>
      </c>
      <c r="N8" s="12">
        <v>7.5313492063492076</v>
      </c>
      <c r="O8" s="12">
        <v>29.775992063492065</v>
      </c>
      <c r="P8" s="12">
        <v>3.1406746031746025</v>
      </c>
      <c r="Q8" s="12">
        <v>19.390674603174606</v>
      </c>
      <c r="R8" s="12">
        <v>-4.3906746031746033</v>
      </c>
    </row>
    <row r="9" spans="1:18" x14ac:dyDescent="0.2">
      <c r="A9">
        <v>20</v>
      </c>
      <c r="B9" t="s">
        <v>218</v>
      </c>
      <c r="C9" s="24">
        <v>34.5</v>
      </c>
      <c r="D9" s="12">
        <v>22</v>
      </c>
      <c r="E9" s="12">
        <v>-3</v>
      </c>
      <c r="F9" s="12">
        <v>-92.25</v>
      </c>
      <c r="G9" s="12">
        <v>-3.7638888888888888</v>
      </c>
      <c r="H9" s="12">
        <v>9.5</v>
      </c>
      <c r="I9" s="12">
        <v>57.125</v>
      </c>
      <c r="J9" s="12">
        <v>30.0625</v>
      </c>
      <c r="K9" s="12">
        <v>4.4375</v>
      </c>
      <c r="L9" s="12">
        <v>27.0625</v>
      </c>
      <c r="M9" s="12">
        <v>-5.0625</v>
      </c>
      <c r="N9" s="12">
        <v>8.7361111111111107</v>
      </c>
      <c r="O9" s="12">
        <v>30.444444444444443</v>
      </c>
      <c r="P9" s="12">
        <v>4.0555555555555554</v>
      </c>
      <c r="Q9" s="12">
        <v>26.680555555555557</v>
      </c>
      <c r="R9" s="12">
        <v>-4.6805555555555562</v>
      </c>
    </row>
    <row r="10" spans="1:18" x14ac:dyDescent="0.2">
      <c r="A10">
        <v>21</v>
      </c>
      <c r="B10" t="s">
        <v>15</v>
      </c>
      <c r="C10" s="24">
        <v>28.916666666666668</v>
      </c>
      <c r="D10" s="12">
        <v>22.083333333333332</v>
      </c>
      <c r="E10" s="12">
        <v>-1.2916666666666667</v>
      </c>
      <c r="F10" s="12">
        <v>-109.75</v>
      </c>
      <c r="G10" s="12">
        <v>-1.2416666666666674</v>
      </c>
      <c r="H10" s="12">
        <v>5.541666666666667</v>
      </c>
      <c r="I10" s="12">
        <v>48.5</v>
      </c>
      <c r="J10" s="12">
        <v>24.895833333333332</v>
      </c>
      <c r="K10" s="12">
        <v>4.020833333333333</v>
      </c>
      <c r="L10" s="12">
        <v>23.604166666666668</v>
      </c>
      <c r="M10" s="12">
        <v>-1.5208333333333333</v>
      </c>
      <c r="N10" s="12">
        <v>5.5916666666666659</v>
      </c>
      <c r="O10" s="12">
        <v>24.870833333333334</v>
      </c>
      <c r="P10" s="12">
        <v>4.0458333333333334</v>
      </c>
      <c r="Q10" s="12">
        <v>23.629166666666666</v>
      </c>
      <c r="R10" s="12">
        <v>-1.5458333333333332</v>
      </c>
    </row>
    <row r="11" spans="1:18" x14ac:dyDescent="0.2">
      <c r="A11">
        <v>22</v>
      </c>
      <c r="B11" t="s">
        <v>160</v>
      </c>
      <c r="C11" s="24">
        <v>32.583333333333336</v>
      </c>
      <c r="D11" s="12">
        <v>28.666666666666668</v>
      </c>
      <c r="E11" s="12">
        <v>-2.1666666666666665</v>
      </c>
      <c r="F11" s="12">
        <v>-111.25</v>
      </c>
      <c r="G11" s="12">
        <v>-2.2996031746031735</v>
      </c>
      <c r="H11" s="12">
        <v>1.75</v>
      </c>
      <c r="I11" s="12">
        <v>56.166666666666664</v>
      </c>
      <c r="J11" s="12">
        <v>29.166666666666668</v>
      </c>
      <c r="K11" s="12">
        <v>3.4166666666666665</v>
      </c>
      <c r="L11" s="12">
        <v>27</v>
      </c>
      <c r="M11" s="12">
        <v>1.6666666666666667</v>
      </c>
      <c r="N11" s="12">
        <v>1.6170634920634928</v>
      </c>
      <c r="O11" s="12">
        <v>29.233134920634921</v>
      </c>
      <c r="P11" s="12">
        <v>3.3501984126984126</v>
      </c>
      <c r="Q11" s="12">
        <v>26.933531746031747</v>
      </c>
      <c r="R11" s="12">
        <v>1.7331349206349209</v>
      </c>
    </row>
    <row r="12" spans="1:18" x14ac:dyDescent="0.2">
      <c r="A12">
        <v>23</v>
      </c>
      <c r="B12" t="s">
        <v>132</v>
      </c>
      <c r="C12" s="24">
        <v>29.083333333333332</v>
      </c>
      <c r="D12" s="12">
        <v>20.083333333333332</v>
      </c>
      <c r="E12" s="12">
        <v>-10.458333333333334</v>
      </c>
      <c r="F12" s="12">
        <v>-109</v>
      </c>
      <c r="G12" s="12">
        <v>-10.939285714285717</v>
      </c>
      <c r="H12" s="12">
        <v>-1.4583333333333333</v>
      </c>
      <c r="I12" s="12">
        <v>51.166666666666664</v>
      </c>
      <c r="J12" s="12">
        <v>30.8125</v>
      </c>
      <c r="K12" s="12">
        <v>-1.7291666666666667</v>
      </c>
      <c r="L12" s="12">
        <v>20.354166666666668</v>
      </c>
      <c r="M12" s="12">
        <v>-0.27083333333333331</v>
      </c>
      <c r="N12" s="12">
        <v>-1.9392857142857143</v>
      </c>
      <c r="O12" s="12">
        <v>31.052976190476198</v>
      </c>
      <c r="P12" s="12">
        <v>-1.9696428571428564</v>
      </c>
      <c r="Q12" s="12">
        <v>20.113690476190474</v>
      </c>
      <c r="R12" s="12">
        <v>-3.0357142857142822E-2</v>
      </c>
    </row>
    <row r="13" spans="1:18" x14ac:dyDescent="0.2">
      <c r="A13">
        <v>24</v>
      </c>
      <c r="B13" t="s">
        <v>100</v>
      </c>
      <c r="C13" s="24">
        <v>36.230769230769234</v>
      </c>
      <c r="D13" s="12">
        <v>21.923076923076923</v>
      </c>
      <c r="E13" s="12">
        <v>-8.7307692307692299</v>
      </c>
      <c r="F13" s="12">
        <v>-111</v>
      </c>
      <c r="G13" s="12">
        <v>-9.1677655677655689</v>
      </c>
      <c r="H13" s="12">
        <v>5.5769230769230766</v>
      </c>
      <c r="I13" s="12">
        <v>57.192307692307693</v>
      </c>
      <c r="J13" s="12">
        <v>32.96153846153846</v>
      </c>
      <c r="K13" s="12">
        <v>3.2692307692307692</v>
      </c>
      <c r="L13" s="12">
        <v>24.23076923076923</v>
      </c>
      <c r="M13" s="12">
        <v>-2.3076923076923075</v>
      </c>
      <c r="N13" s="12">
        <v>5.1399267399267394</v>
      </c>
      <c r="O13" s="12">
        <v>33.180036630036632</v>
      </c>
      <c r="P13" s="12">
        <v>3.0507326007326006</v>
      </c>
      <c r="Q13" s="12">
        <v>24.012271062271068</v>
      </c>
      <c r="R13" s="12">
        <v>-2.0891941391941384</v>
      </c>
    </row>
    <row r="14" spans="1:18" ht="17" thickBot="1" x14ac:dyDescent="0.25">
      <c r="A14">
        <v>25</v>
      </c>
      <c r="B14" t="s">
        <v>219</v>
      </c>
      <c r="C14" s="24">
        <v>35.166666666666664</v>
      </c>
      <c r="D14" s="12">
        <v>22.75</v>
      </c>
      <c r="E14" s="12">
        <v>-11.708333333333334</v>
      </c>
      <c r="F14" s="12">
        <v>-110.58333333333333</v>
      </c>
      <c r="G14" s="12">
        <v>-12.317857142857143</v>
      </c>
      <c r="H14" s="12">
        <v>0.70833333333333337</v>
      </c>
      <c r="I14" s="12">
        <v>57.958333333333336</v>
      </c>
      <c r="J14" s="12">
        <v>34.833333333333336</v>
      </c>
      <c r="K14" s="12">
        <v>0.33333333333333331</v>
      </c>
      <c r="L14" s="12">
        <v>23.125</v>
      </c>
      <c r="M14" s="12">
        <v>-0.375</v>
      </c>
      <c r="N14" s="12">
        <v>9.8809523809523306E-2</v>
      </c>
      <c r="O14" s="12">
        <v>35.138095238095239</v>
      </c>
      <c r="P14" s="12">
        <v>2.8571428571428765E-2</v>
      </c>
      <c r="Q14" s="12">
        <v>22.820238095238096</v>
      </c>
      <c r="R14" s="12">
        <v>-7.0238095238095433E-2</v>
      </c>
    </row>
    <row r="15" spans="1:18" x14ac:dyDescent="0.2">
      <c r="A15" s="15"/>
      <c r="B15" s="15" t="s">
        <v>221</v>
      </c>
      <c r="C15" s="25">
        <f>SUM(C2:C14)</f>
        <v>439.12820512820514</v>
      </c>
      <c r="D15" s="17">
        <f t="shared" ref="D15:R15" si="0">SUM(D2:D14)</f>
        <v>267.04487179487182</v>
      </c>
      <c r="E15" s="17">
        <f t="shared" si="0"/>
        <v>-119.67307692307692</v>
      </c>
      <c r="F15" s="17">
        <f t="shared" si="0"/>
        <v>-1416.5192307692307</v>
      </c>
      <c r="G15" s="17">
        <f t="shared" si="0"/>
        <v>-126.28769841269843</v>
      </c>
      <c r="H15" s="17">
        <f t="shared" si="0"/>
        <v>52.410256410256416</v>
      </c>
      <c r="I15" s="17">
        <f t="shared" si="0"/>
        <v>692.99679487179492</v>
      </c>
      <c r="J15" s="17">
        <f>SUM(J2:J14)</f>
        <v>406.33493589743591</v>
      </c>
      <c r="K15" s="17">
        <f t="shared" si="0"/>
        <v>32.793269230769234</v>
      </c>
      <c r="L15" s="17">
        <f t="shared" si="0"/>
        <v>286.66185897435895</v>
      </c>
      <c r="M15" s="17">
        <f t="shared" si="0"/>
        <v>-19.616987179487175</v>
      </c>
      <c r="N15" s="17">
        <f t="shared" si="0"/>
        <v>45.795634920634924</v>
      </c>
      <c r="O15" s="17">
        <f t="shared" si="0"/>
        <v>409.64224664224662</v>
      </c>
      <c r="P15" s="17">
        <f t="shared" si="0"/>
        <v>29.485958485958484</v>
      </c>
      <c r="Q15" s="17">
        <f t="shared" si="0"/>
        <v>283.35454822954819</v>
      </c>
      <c r="R15" s="17">
        <f t="shared" si="0"/>
        <v>-16.309676434676437</v>
      </c>
    </row>
    <row r="16" spans="1:18" x14ac:dyDescent="0.2">
      <c r="B16" t="s">
        <v>26</v>
      </c>
      <c r="C16" s="24">
        <f>AVERAGE(C2:C14)</f>
        <v>33.779092702169628</v>
      </c>
      <c r="D16" s="12">
        <f t="shared" ref="D16:R16" si="1">AVERAGE(D2:D14)</f>
        <v>20.541913214990139</v>
      </c>
      <c r="E16" s="12">
        <f t="shared" si="1"/>
        <v>-9.2056213017751478</v>
      </c>
      <c r="F16" s="12">
        <f t="shared" si="1"/>
        <v>-108.96301775147928</v>
      </c>
      <c r="G16" s="12">
        <f t="shared" si="1"/>
        <v>-9.7144383394383418</v>
      </c>
      <c r="H16" s="12">
        <f t="shared" si="1"/>
        <v>4.0315581854043394</v>
      </c>
      <c r="I16" s="12">
        <f t="shared" si="1"/>
        <v>53.307445759368839</v>
      </c>
      <c r="J16" s="12">
        <f>AVERAGE(J2:J14)</f>
        <v>31.256533530571993</v>
      </c>
      <c r="K16" s="12">
        <f t="shared" si="1"/>
        <v>2.5225591715976332</v>
      </c>
      <c r="L16" s="12">
        <f t="shared" si="1"/>
        <v>22.050912228796843</v>
      </c>
      <c r="M16" s="12">
        <f t="shared" si="1"/>
        <v>-1.5089990138067058</v>
      </c>
      <c r="N16" s="12">
        <f t="shared" si="1"/>
        <v>3.5227411477411481</v>
      </c>
      <c r="O16" s="12">
        <f t="shared" si="1"/>
        <v>31.510942049403585</v>
      </c>
      <c r="P16" s="12">
        <f t="shared" si="1"/>
        <v>2.2681506527660371</v>
      </c>
      <c r="Q16" s="12">
        <f t="shared" si="1"/>
        <v>21.796503709965243</v>
      </c>
      <c r="R16" s="12">
        <f t="shared" si="1"/>
        <v>-1.2545904949751105</v>
      </c>
    </row>
    <row r="17" spans="2:18" x14ac:dyDescent="0.2">
      <c r="B17" t="s">
        <v>223</v>
      </c>
      <c r="C17" s="24">
        <f>_xlfn.STDEV.P(C2:C14)</f>
        <v>3.9963298157574303</v>
      </c>
      <c r="D17" s="12">
        <f t="shared" ref="D17:R17" si="2">_xlfn.STDEV.P(D2:D14)</f>
        <v>3.7506853125414894</v>
      </c>
      <c r="E17" s="12">
        <f t="shared" si="2"/>
        <v>6.2307098567487387</v>
      </c>
      <c r="F17" s="12">
        <f t="shared" si="2"/>
        <v>4.8726947898762312</v>
      </c>
      <c r="G17" s="12">
        <f t="shared" si="2"/>
        <v>6.5234713218844611</v>
      </c>
      <c r="H17" s="12">
        <f t="shared" si="2"/>
        <v>3.7925800871982318</v>
      </c>
      <c r="I17" s="12">
        <f t="shared" si="2"/>
        <v>4.4850955751201917</v>
      </c>
      <c r="J17" s="12">
        <f>_xlfn.STDEV.P(J2:J14)</f>
        <v>4.6705090822527646</v>
      </c>
      <c r="K17" s="12">
        <f t="shared" si="2"/>
        <v>2.6220241894983594</v>
      </c>
      <c r="L17" s="12">
        <f t="shared" si="2"/>
        <v>2.766813822986439</v>
      </c>
      <c r="M17" s="12">
        <f t="shared" si="2"/>
        <v>2.7052171931831221</v>
      </c>
      <c r="N17" s="12">
        <f t="shared" si="2"/>
        <v>3.9224007113652957</v>
      </c>
      <c r="O17" s="12">
        <f t="shared" si="2"/>
        <v>4.8214437862575537</v>
      </c>
      <c r="P17" s="12">
        <f t="shared" si="2"/>
        <v>2.7171588703578378</v>
      </c>
      <c r="Q17" s="12">
        <f t="shared" si="2"/>
        <v>2.8442151850140589</v>
      </c>
      <c r="R17" s="12">
        <f t="shared" si="2"/>
        <v>2.7038935624756064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F506-B681-124B-8DD3-DB90BA41E0CA}">
  <sheetPr>
    <tabColor theme="9"/>
  </sheetPr>
  <dimension ref="A1:T19"/>
  <sheetViews>
    <sheetView zoomScale="50" workbookViewId="0">
      <selection activeCell="C19" sqref="C19:R19"/>
    </sheetView>
  </sheetViews>
  <sheetFormatPr baseColWidth="10" defaultColWidth="9.83203125" defaultRowHeight="15" x14ac:dyDescent="0.2"/>
  <cols>
    <col min="1" max="1" width="19.83203125" style="2" bestFit="1" customWidth="1"/>
    <col min="2" max="2" width="24.5" style="2" bestFit="1" customWidth="1"/>
    <col min="3" max="3" width="13.83203125" style="2" bestFit="1" customWidth="1"/>
    <col min="4" max="5" width="17.5" style="2" bestFit="1" customWidth="1"/>
    <col min="6" max="6" width="15.5" style="2" bestFit="1" customWidth="1"/>
    <col min="7" max="7" width="15.1640625" style="2" bestFit="1" customWidth="1"/>
    <col min="8" max="8" width="34.83203125" style="2" bestFit="1" customWidth="1"/>
    <col min="9" max="9" width="9.5" style="2" bestFit="1" customWidth="1"/>
    <col min="10" max="10" width="24.1640625" style="2" bestFit="1" customWidth="1"/>
    <col min="11" max="11" width="32.83203125" style="2" bestFit="1" customWidth="1"/>
    <col min="12" max="12" width="24.1640625" style="2" bestFit="1" customWidth="1"/>
    <col min="13" max="13" width="36.1640625" style="2" bestFit="1" customWidth="1"/>
    <col min="14" max="14" width="32.83203125" style="2" bestFit="1" customWidth="1"/>
    <col min="15" max="15" width="22.1640625" style="2" bestFit="1" customWidth="1"/>
    <col min="16" max="16" width="30.5" style="2" bestFit="1" customWidth="1"/>
    <col min="17" max="17" width="22.1640625" style="2" bestFit="1" customWidth="1"/>
    <col min="18" max="18" width="34.1640625" style="2" bestFit="1" customWidth="1"/>
    <col min="19" max="19" width="17.83203125" style="2" bestFit="1" customWidth="1"/>
    <col min="20" max="20" width="19.1640625" style="2" bestFit="1" customWidth="1"/>
    <col min="21" max="16384" width="9.83203125" style="2"/>
  </cols>
  <sheetData>
    <row r="1" spans="1:20" x14ac:dyDescent="0.2">
      <c r="A1" s="1" t="s">
        <v>30</v>
      </c>
      <c r="B1" s="1" t="s">
        <v>31</v>
      </c>
      <c r="C1" s="1" t="s">
        <v>2</v>
      </c>
      <c r="D1" s="1" t="s">
        <v>76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32</v>
      </c>
      <c r="C4" s="9">
        <v>24</v>
      </c>
      <c r="D4" s="9">
        <v>14</v>
      </c>
      <c r="E4" s="3">
        <f>-49.5</f>
        <v>-49.5</v>
      </c>
      <c r="F4" s="2">
        <f>-111</f>
        <v>-111</v>
      </c>
      <c r="G4" s="4">
        <f>E4*(F4/-105)</f>
        <v>-52.328571428571429</v>
      </c>
      <c r="H4" s="4">
        <f>(C4-D4) + E4</f>
        <v>-39.5</v>
      </c>
      <c r="I4" s="3">
        <f>60.5</f>
        <v>60.5</v>
      </c>
      <c r="J4" s="4">
        <f>I4/2 - E4/2</f>
        <v>55</v>
      </c>
      <c r="K4" s="4">
        <f>C4-J4</f>
        <v>-31</v>
      </c>
      <c r="L4" s="4">
        <f>I4/2 + E4/2</f>
        <v>5.5</v>
      </c>
      <c r="M4" s="4">
        <f>D4-L4</f>
        <v>8.5</v>
      </c>
      <c r="N4" s="4">
        <f>(C4-D4) + G4</f>
        <v>-42.328571428571429</v>
      </c>
      <c r="O4" s="4">
        <f>I4/2 - G4/2</f>
        <v>56.414285714285711</v>
      </c>
      <c r="P4" s="4">
        <f>C4-O4</f>
        <v>-32.414285714285711</v>
      </c>
      <c r="Q4" s="4">
        <f>I4/2 + G4/2</f>
        <v>4.0857142857142854</v>
      </c>
      <c r="R4" s="4">
        <f>D4-Q4</f>
        <v>9.9142857142857146</v>
      </c>
      <c r="S4" s="2">
        <f>-20000</f>
        <v>-20000</v>
      </c>
      <c r="T4" s="11">
        <f t="shared" ref="T4:T16" si="0">IF(S4&gt;0,100/(100+S4),ABS(S4)/(100+ABS(S4)))</f>
        <v>0.99502487562189057</v>
      </c>
    </row>
    <row r="5" spans="1:20" x14ac:dyDescent="0.2">
      <c r="A5" s="2">
        <v>2</v>
      </c>
      <c r="B5" s="2" t="s">
        <v>33</v>
      </c>
      <c r="C5" s="9">
        <v>37</v>
      </c>
      <c r="D5" s="9">
        <v>34</v>
      </c>
      <c r="E5" s="3">
        <f>-17.5</f>
        <v>-17.5</v>
      </c>
      <c r="F5" s="2">
        <f>-112</f>
        <v>-112</v>
      </c>
      <c r="G5" s="4">
        <f t="shared" ref="G5:G16" si="1">E5*(F5/-105)</f>
        <v>-18.666666666666668</v>
      </c>
      <c r="H5" s="4">
        <f>(C5-D5) + E5</f>
        <v>-14.5</v>
      </c>
      <c r="I5" s="3">
        <f>61.5</f>
        <v>61.5</v>
      </c>
      <c r="J5" s="4">
        <f>I5/2 - E5/2</f>
        <v>39.5</v>
      </c>
      <c r="K5" s="4">
        <f>C5-J5</f>
        <v>-2.5</v>
      </c>
      <c r="L5" s="4">
        <f>I5/2 + E5/2</f>
        <v>22</v>
      </c>
      <c r="M5" s="4">
        <f>D5-L5</f>
        <v>12</v>
      </c>
      <c r="N5" s="4">
        <f t="shared" ref="N5:N16" si="2">(C5-D5) + G5</f>
        <v>-15.666666666666668</v>
      </c>
      <c r="O5" s="4">
        <f t="shared" ref="O5:O16" si="3">I5/2 - G5/2</f>
        <v>40.083333333333336</v>
      </c>
      <c r="P5" s="4">
        <f t="shared" ref="P5:P16" si="4">C5-O5</f>
        <v>-3.0833333333333357</v>
      </c>
      <c r="Q5" s="4">
        <f t="shared" ref="Q5:Q16" si="5">I5/2 + G5/2</f>
        <v>21.416666666666664</v>
      </c>
      <c r="R5" s="4">
        <f t="shared" ref="R5:R16" si="6">D5-Q5</f>
        <v>12.583333333333336</v>
      </c>
      <c r="S5" s="2">
        <f>-941</f>
        <v>-941</v>
      </c>
      <c r="T5" s="11">
        <f t="shared" si="0"/>
        <v>0.90393852065321811</v>
      </c>
    </row>
    <row r="6" spans="1:20" x14ac:dyDescent="0.2">
      <c r="A6" s="2">
        <v>3</v>
      </c>
      <c r="B6" s="2" t="s">
        <v>34</v>
      </c>
      <c r="C6" s="9">
        <v>49</v>
      </c>
      <c r="D6" s="9">
        <v>14</v>
      </c>
      <c r="E6" s="10">
        <f>-18.5</f>
        <v>-18.5</v>
      </c>
      <c r="F6" s="2">
        <v>-112</v>
      </c>
      <c r="G6" s="4">
        <f t="shared" si="1"/>
        <v>-19.733333333333334</v>
      </c>
      <c r="H6" s="4">
        <f>(C6-D6) + E6</f>
        <v>16.5</v>
      </c>
      <c r="I6" s="3">
        <f>49.5</f>
        <v>49.5</v>
      </c>
      <c r="J6" s="4">
        <f>I6/2 - E6/2</f>
        <v>34</v>
      </c>
      <c r="K6" s="4">
        <f>C6-J6</f>
        <v>15</v>
      </c>
      <c r="L6" s="4">
        <f>I6/2 + E6/2</f>
        <v>15.5</v>
      </c>
      <c r="M6" s="4">
        <f>D6-L6</f>
        <v>-1.5</v>
      </c>
      <c r="N6" s="4">
        <f t="shared" si="2"/>
        <v>15.266666666666666</v>
      </c>
      <c r="O6" s="4">
        <f t="shared" si="3"/>
        <v>34.616666666666667</v>
      </c>
      <c r="P6" s="4">
        <f t="shared" si="4"/>
        <v>14.383333333333333</v>
      </c>
      <c r="Q6" s="4">
        <f t="shared" si="5"/>
        <v>14.883333333333333</v>
      </c>
      <c r="R6" s="4">
        <f t="shared" si="6"/>
        <v>-0.88333333333333286</v>
      </c>
      <c r="S6" s="2">
        <f>-1176</f>
        <v>-1176</v>
      </c>
      <c r="T6" s="11">
        <f t="shared" si="0"/>
        <v>0.92163009404388718</v>
      </c>
    </row>
    <row r="7" spans="1:20" x14ac:dyDescent="0.2">
      <c r="A7" s="2">
        <v>4</v>
      </c>
      <c r="B7" s="2" t="s">
        <v>16</v>
      </c>
      <c r="C7" s="9">
        <v>34</v>
      </c>
      <c r="D7" s="9">
        <v>13</v>
      </c>
      <c r="E7" s="3">
        <f>-24</f>
        <v>-24</v>
      </c>
      <c r="F7" s="2">
        <f>-111</f>
        <v>-111</v>
      </c>
      <c r="G7" s="4">
        <f t="shared" si="1"/>
        <v>-25.371428571428574</v>
      </c>
      <c r="H7" s="4">
        <f>(C7-D7) + E7</f>
        <v>-3</v>
      </c>
      <c r="I7" s="3">
        <f>54.5</f>
        <v>54.5</v>
      </c>
      <c r="J7" s="4">
        <f>I7/2 - E7/2</f>
        <v>39.25</v>
      </c>
      <c r="K7" s="4">
        <f>C7-J7</f>
        <v>-5.25</v>
      </c>
      <c r="L7" s="4">
        <f>I7/2 + E7/2</f>
        <v>15.25</v>
      </c>
      <c r="M7" s="4">
        <f>D7-L7</f>
        <v>-2.25</v>
      </c>
      <c r="N7" s="4">
        <f t="shared" si="2"/>
        <v>-4.3714285714285737</v>
      </c>
      <c r="O7" s="4">
        <f t="shared" si="3"/>
        <v>39.935714285714283</v>
      </c>
      <c r="P7" s="4">
        <f t="shared" si="4"/>
        <v>-5.9357142857142833</v>
      </c>
      <c r="Q7" s="4">
        <f t="shared" si="5"/>
        <v>14.564285714285713</v>
      </c>
      <c r="R7" s="4">
        <f t="shared" si="6"/>
        <v>-1.5642857142857132</v>
      </c>
      <c r="S7" s="2">
        <f>-2687</f>
        <v>-2687</v>
      </c>
      <c r="T7" s="11">
        <f t="shared" si="0"/>
        <v>0.96411912450663795</v>
      </c>
    </row>
    <row r="8" spans="1:20" x14ac:dyDescent="0.2">
      <c r="A8" s="2">
        <v>5</v>
      </c>
      <c r="B8" s="2" t="s">
        <v>35</v>
      </c>
      <c r="C8" s="9">
        <v>31</v>
      </c>
      <c r="D8" s="9">
        <v>10</v>
      </c>
      <c r="E8" s="3">
        <f>-22.5</f>
        <v>-22.5</v>
      </c>
      <c r="F8" s="2">
        <v>-109</v>
      </c>
      <c r="G8" s="4">
        <f t="shared" si="1"/>
        <v>-23.357142857142858</v>
      </c>
      <c r="H8" s="4">
        <f>(C8-D8) + E8</f>
        <v>-1.5</v>
      </c>
      <c r="I8" s="3">
        <f>51.5</f>
        <v>51.5</v>
      </c>
      <c r="J8" s="4">
        <f>I8/2 - E8/2</f>
        <v>37</v>
      </c>
      <c r="K8" s="4">
        <f>C8-J8</f>
        <v>-6</v>
      </c>
      <c r="L8" s="4">
        <f>I8/2 + E8/2</f>
        <v>14.5</v>
      </c>
      <c r="M8" s="4">
        <f>D8-L8</f>
        <v>-4.5</v>
      </c>
      <c r="N8" s="4">
        <f t="shared" si="2"/>
        <v>-2.3571428571428577</v>
      </c>
      <c r="O8" s="4">
        <f t="shared" si="3"/>
        <v>37.428571428571431</v>
      </c>
      <c r="P8" s="4">
        <f t="shared" si="4"/>
        <v>-6.4285714285714306</v>
      </c>
      <c r="Q8" s="4">
        <f t="shared" si="5"/>
        <v>14.071428571428571</v>
      </c>
      <c r="R8" s="4">
        <f t="shared" si="6"/>
        <v>-4.0714285714285712</v>
      </c>
      <c r="S8" s="2">
        <f>-1949</f>
        <v>-1949</v>
      </c>
      <c r="T8" s="11">
        <f t="shared" si="0"/>
        <v>0.95119570522205954</v>
      </c>
    </row>
    <row r="9" spans="1:20" x14ac:dyDescent="0.2">
      <c r="A9" s="2">
        <v>6</v>
      </c>
      <c r="B9" s="2" t="s">
        <v>19</v>
      </c>
      <c r="C9" s="9">
        <v>32</v>
      </c>
      <c r="D9" s="9">
        <v>31</v>
      </c>
      <c r="E9" s="10">
        <f>3.5</f>
        <v>3.5</v>
      </c>
      <c r="F9" s="2">
        <v>-109</v>
      </c>
      <c r="G9" s="4">
        <f t="shared" si="1"/>
        <v>3.6333333333333337</v>
      </c>
      <c r="H9" s="4">
        <f>(C9-D9) + E9</f>
        <v>4.5</v>
      </c>
      <c r="I9" s="3">
        <f>54.5</f>
        <v>54.5</v>
      </c>
      <c r="J9" s="4">
        <f>I9/2 - E9/2</f>
        <v>25.5</v>
      </c>
      <c r="K9" s="4">
        <f>C9-J9</f>
        <v>6.5</v>
      </c>
      <c r="L9" s="4">
        <f>I9/2 + E9/2</f>
        <v>29</v>
      </c>
      <c r="M9" s="4">
        <f>D9-L9</f>
        <v>2</v>
      </c>
      <c r="N9" s="4">
        <f t="shared" si="2"/>
        <v>4.6333333333333337</v>
      </c>
      <c r="O9" s="4">
        <f t="shared" si="3"/>
        <v>25.433333333333334</v>
      </c>
      <c r="P9" s="4">
        <f t="shared" si="4"/>
        <v>6.5666666666666664</v>
      </c>
      <c r="Q9" s="4">
        <f t="shared" si="5"/>
        <v>29.066666666666666</v>
      </c>
      <c r="R9" s="4">
        <f t="shared" si="6"/>
        <v>1.9333333333333336</v>
      </c>
      <c r="S9" s="2">
        <f>143</f>
        <v>143</v>
      </c>
      <c r="T9" s="11">
        <f t="shared" si="0"/>
        <v>0.41152263374485598</v>
      </c>
    </row>
    <row r="10" spans="1:20" x14ac:dyDescent="0.2">
      <c r="A10" s="2">
        <v>7</v>
      </c>
      <c r="B10" s="2" t="s">
        <v>21</v>
      </c>
      <c r="C10" s="9">
        <v>35</v>
      </c>
      <c r="D10" s="9">
        <v>0</v>
      </c>
      <c r="E10" s="3">
        <f>-30.5</f>
        <v>-30.5</v>
      </c>
      <c r="F10" s="2">
        <f>-110</f>
        <v>-110</v>
      </c>
      <c r="G10" s="4">
        <f t="shared" si="1"/>
        <v>-31.952380952380953</v>
      </c>
      <c r="H10" s="4">
        <f>(C10-D10) + E10</f>
        <v>4.5</v>
      </c>
      <c r="I10" s="3">
        <f>61</f>
        <v>61</v>
      </c>
      <c r="J10" s="4">
        <f>I10/2 - E10/2</f>
        <v>45.75</v>
      </c>
      <c r="K10" s="4">
        <f>C10-J10</f>
        <v>-10.75</v>
      </c>
      <c r="L10" s="4">
        <f>I10/2 + E10/2</f>
        <v>15.25</v>
      </c>
      <c r="M10" s="4">
        <f>D10-L10</f>
        <v>-15.25</v>
      </c>
      <c r="N10" s="4">
        <f t="shared" si="2"/>
        <v>3.0476190476190474</v>
      </c>
      <c r="O10" s="4">
        <f t="shared" si="3"/>
        <v>46.476190476190474</v>
      </c>
      <c r="P10" s="4">
        <f t="shared" si="4"/>
        <v>-11.476190476190474</v>
      </c>
      <c r="Q10" s="4">
        <f t="shared" si="5"/>
        <v>14.523809523809524</v>
      </c>
      <c r="R10" s="4">
        <f t="shared" si="6"/>
        <v>-14.523809523809524</v>
      </c>
      <c r="S10" s="2">
        <f>-6293</f>
        <v>-6293</v>
      </c>
      <c r="T10" s="11">
        <f t="shared" si="0"/>
        <v>0.98435789144376662</v>
      </c>
    </row>
    <row r="11" spans="1:20" x14ac:dyDescent="0.2">
      <c r="A11" s="2">
        <v>8</v>
      </c>
      <c r="B11" s="2" t="s">
        <v>15</v>
      </c>
      <c r="C11" s="9">
        <v>38</v>
      </c>
      <c r="D11" s="9">
        <v>9</v>
      </c>
      <c r="E11" s="10">
        <f>-21.5</f>
        <v>-21.5</v>
      </c>
      <c r="F11" s="2">
        <f>-108</f>
        <v>-108</v>
      </c>
      <c r="G11" s="4">
        <f t="shared" si="1"/>
        <v>-22.114285714285714</v>
      </c>
      <c r="H11" s="4">
        <f>(C11-D11) + E11</f>
        <v>7.5</v>
      </c>
      <c r="I11" s="3">
        <f>54.5</f>
        <v>54.5</v>
      </c>
      <c r="J11" s="4">
        <f>I11/2 - E11/2</f>
        <v>38</v>
      </c>
      <c r="K11" s="4">
        <f>C11-J11</f>
        <v>0</v>
      </c>
      <c r="L11" s="4">
        <f>I11/2 + E11/2</f>
        <v>16.5</v>
      </c>
      <c r="M11" s="4">
        <f>D11-L11</f>
        <v>-7.5</v>
      </c>
      <c r="N11" s="4">
        <f t="shared" si="2"/>
        <v>6.8857142857142861</v>
      </c>
      <c r="O11" s="4">
        <f t="shared" si="3"/>
        <v>38.307142857142857</v>
      </c>
      <c r="P11" s="4">
        <f t="shared" si="4"/>
        <v>-0.30714285714285694</v>
      </c>
      <c r="Q11" s="4">
        <f t="shared" si="5"/>
        <v>16.192857142857143</v>
      </c>
      <c r="R11" s="4">
        <f t="shared" si="6"/>
        <v>-7.1928571428571431</v>
      </c>
      <c r="S11" s="2">
        <f>-1966</f>
        <v>-1966</v>
      </c>
      <c r="T11" s="11">
        <f t="shared" si="0"/>
        <v>0.95159728944820909</v>
      </c>
    </row>
    <row r="12" spans="1:20" x14ac:dyDescent="0.2">
      <c r="A12" s="2">
        <v>9</v>
      </c>
      <c r="B12" s="2" t="s">
        <v>36</v>
      </c>
      <c r="C12" s="9">
        <v>38</v>
      </c>
      <c r="D12" s="9">
        <v>17</v>
      </c>
      <c r="E12" s="10">
        <f>-14.5</f>
        <v>-14.5</v>
      </c>
      <c r="F12" s="2">
        <f>-110</f>
        <v>-110</v>
      </c>
      <c r="G12" s="4">
        <f t="shared" si="1"/>
        <v>-15.190476190476192</v>
      </c>
      <c r="H12" s="4">
        <f>(C12-D12) + E12</f>
        <v>6.5</v>
      </c>
      <c r="I12" s="3">
        <f>44.5</f>
        <v>44.5</v>
      </c>
      <c r="J12" s="4">
        <f>I12/2 - E12/2</f>
        <v>29.5</v>
      </c>
      <c r="K12" s="4">
        <f>C12-J12</f>
        <v>8.5</v>
      </c>
      <c r="L12" s="4">
        <f>I12/2 + E12/2</f>
        <v>15</v>
      </c>
      <c r="M12" s="4">
        <f>D12-L12</f>
        <v>2</v>
      </c>
      <c r="N12" s="4">
        <f t="shared" si="2"/>
        <v>5.8095238095238084</v>
      </c>
      <c r="O12" s="4">
        <f t="shared" si="3"/>
        <v>29.845238095238095</v>
      </c>
      <c r="P12" s="4">
        <f t="shared" si="4"/>
        <v>8.1547619047619051</v>
      </c>
      <c r="Q12" s="4">
        <f t="shared" si="5"/>
        <v>14.654761904761905</v>
      </c>
      <c r="R12" s="4">
        <f t="shared" si="6"/>
        <v>2.3452380952380949</v>
      </c>
      <c r="S12" s="2">
        <f>-733</f>
        <v>-733</v>
      </c>
      <c r="T12" s="11">
        <f t="shared" si="0"/>
        <v>0.87995198079231696</v>
      </c>
    </row>
    <row r="13" spans="1:20" x14ac:dyDescent="0.2">
      <c r="A13" s="2">
        <v>10</v>
      </c>
      <c r="B13" s="2" t="s">
        <v>23</v>
      </c>
      <c r="C13" s="9">
        <v>39</v>
      </c>
      <c r="D13" s="9">
        <v>18</v>
      </c>
      <c r="E13" s="3">
        <f>-24</f>
        <v>-24</v>
      </c>
      <c r="F13" s="2">
        <f>-110</f>
        <v>-110</v>
      </c>
      <c r="G13" s="4">
        <f t="shared" si="1"/>
        <v>-25.142857142857146</v>
      </c>
      <c r="H13" s="4">
        <f>(C13-D13) + E13</f>
        <v>-3</v>
      </c>
      <c r="I13" s="3">
        <f>57.5</f>
        <v>57.5</v>
      </c>
      <c r="J13" s="4">
        <f>I13/2 - E13/2</f>
        <v>40.75</v>
      </c>
      <c r="K13" s="4">
        <f>C13-J13</f>
        <v>-1.75</v>
      </c>
      <c r="L13" s="4">
        <f>I13/2 + E13/2</f>
        <v>16.75</v>
      </c>
      <c r="M13" s="4">
        <f>D13-L13</f>
        <v>1.25</v>
      </c>
      <c r="N13" s="4">
        <f t="shared" si="2"/>
        <v>-4.1428571428571459</v>
      </c>
      <c r="O13" s="4">
        <f t="shared" si="3"/>
        <v>41.321428571428569</v>
      </c>
      <c r="P13" s="4">
        <f t="shared" si="4"/>
        <v>-2.3214285714285694</v>
      </c>
      <c r="Q13" s="4">
        <f t="shared" si="5"/>
        <v>16.178571428571427</v>
      </c>
      <c r="R13" s="4">
        <f t="shared" si="6"/>
        <v>1.821428571428573</v>
      </c>
      <c r="S13" s="2">
        <f>-2852</f>
        <v>-2852</v>
      </c>
      <c r="T13" s="11">
        <f t="shared" si="0"/>
        <v>0.96612466124661245</v>
      </c>
    </row>
    <row r="14" spans="1:20" x14ac:dyDescent="0.2">
      <c r="A14" s="2">
        <v>11</v>
      </c>
      <c r="B14" s="2" t="s">
        <v>18</v>
      </c>
      <c r="C14" s="9">
        <v>16</v>
      </c>
      <c r="D14" s="9">
        <v>13</v>
      </c>
      <c r="E14" s="3">
        <f>-13.5</f>
        <v>-13.5</v>
      </c>
      <c r="F14" s="2">
        <f>-112</f>
        <v>-112</v>
      </c>
      <c r="G14" s="4">
        <f t="shared" si="1"/>
        <v>-14.4</v>
      </c>
      <c r="H14" s="4">
        <f>(C14-D14) + E14</f>
        <v>-10.5</v>
      </c>
      <c r="I14" s="3">
        <f>49.5</f>
        <v>49.5</v>
      </c>
      <c r="J14" s="4">
        <f>I14/2 - E14/2</f>
        <v>31.5</v>
      </c>
      <c r="K14" s="4">
        <f>C14-J14</f>
        <v>-15.5</v>
      </c>
      <c r="L14" s="4">
        <f>I14/2 + E14/2</f>
        <v>18</v>
      </c>
      <c r="M14" s="4">
        <f>D14-L14</f>
        <v>-5</v>
      </c>
      <c r="N14" s="4">
        <f t="shared" si="2"/>
        <v>-11.4</v>
      </c>
      <c r="O14" s="4">
        <f t="shared" si="3"/>
        <v>31.95</v>
      </c>
      <c r="P14" s="4">
        <f t="shared" si="4"/>
        <v>-15.95</v>
      </c>
      <c r="Q14" s="4">
        <f t="shared" si="5"/>
        <v>17.55</v>
      </c>
      <c r="R14" s="4">
        <f t="shared" si="6"/>
        <v>-4.5500000000000007</v>
      </c>
      <c r="S14" s="2">
        <f>-573</f>
        <v>-573</v>
      </c>
      <c r="T14" s="11">
        <f t="shared" si="0"/>
        <v>0.85141158989598809</v>
      </c>
    </row>
    <row r="15" spans="1:20" x14ac:dyDescent="0.2">
      <c r="A15" s="2">
        <v>12</v>
      </c>
      <c r="B15" s="2" t="s">
        <v>20</v>
      </c>
      <c r="C15" s="9">
        <v>49</v>
      </c>
      <c r="D15" s="9">
        <v>21</v>
      </c>
      <c r="E15" s="10">
        <f>-17</f>
        <v>-17</v>
      </c>
      <c r="F15" s="2">
        <f>-109</f>
        <v>-109</v>
      </c>
      <c r="G15" s="4">
        <f t="shared" si="1"/>
        <v>-17.647619047619049</v>
      </c>
      <c r="H15" s="4">
        <f>(C15-D15) + E15</f>
        <v>11</v>
      </c>
      <c r="I15" s="3">
        <f>50.5</f>
        <v>50.5</v>
      </c>
      <c r="J15" s="4">
        <f>I15/2 - E15/2</f>
        <v>33.75</v>
      </c>
      <c r="K15" s="4">
        <f>C15-J15</f>
        <v>15.25</v>
      </c>
      <c r="L15" s="4">
        <f>I15/2 + E15/2</f>
        <v>16.75</v>
      </c>
      <c r="M15" s="4">
        <f>D15-L15</f>
        <v>4.25</v>
      </c>
      <c r="N15" s="4">
        <f t="shared" si="2"/>
        <v>10.352380952380951</v>
      </c>
      <c r="O15" s="4">
        <f t="shared" si="3"/>
        <v>34.073809523809523</v>
      </c>
      <c r="P15" s="4">
        <f t="shared" si="4"/>
        <v>14.926190476190477</v>
      </c>
      <c r="Q15" s="4">
        <f t="shared" si="5"/>
        <v>16.426190476190477</v>
      </c>
      <c r="R15" s="4">
        <f t="shared" si="6"/>
        <v>4.5738095238095227</v>
      </c>
      <c r="S15" s="2">
        <f>-849</f>
        <v>-849</v>
      </c>
      <c r="T15" s="11">
        <f t="shared" si="0"/>
        <v>0.89462592202318225</v>
      </c>
    </row>
    <row r="16" spans="1:20" x14ac:dyDescent="0.2">
      <c r="A16" s="2" t="s">
        <v>236</v>
      </c>
      <c r="B16" s="2" t="s">
        <v>37</v>
      </c>
      <c r="C16" s="9">
        <v>45</v>
      </c>
      <c r="D16" s="9">
        <v>37</v>
      </c>
      <c r="E16" s="10">
        <f>-3</f>
        <v>-3</v>
      </c>
      <c r="F16" s="2">
        <f>-114</f>
        <v>-114</v>
      </c>
      <c r="G16" s="4">
        <f t="shared" si="1"/>
        <v>-3.2571428571428571</v>
      </c>
      <c r="H16" s="4">
        <f>(C16-D16) + E16</f>
        <v>5</v>
      </c>
      <c r="I16" s="3">
        <f>51.5</f>
        <v>51.5</v>
      </c>
      <c r="J16" s="4">
        <f>I16/2 - E16/2</f>
        <v>27.25</v>
      </c>
      <c r="K16" s="4">
        <f>C16-J16</f>
        <v>17.75</v>
      </c>
      <c r="L16" s="4">
        <f>I16/2 + E16/2</f>
        <v>24.25</v>
      </c>
      <c r="M16" s="4">
        <f>D16-L16</f>
        <v>12.75</v>
      </c>
      <c r="N16" s="4">
        <f t="shared" si="2"/>
        <v>4.7428571428571429</v>
      </c>
      <c r="O16" s="4">
        <f t="shared" si="3"/>
        <v>27.37857142857143</v>
      </c>
      <c r="P16" s="4">
        <f t="shared" si="4"/>
        <v>17.62142857142857</v>
      </c>
      <c r="Q16" s="4">
        <f t="shared" si="5"/>
        <v>24.12142857142857</v>
      </c>
      <c r="R16" s="4">
        <f t="shared" si="6"/>
        <v>12.87857142857143</v>
      </c>
      <c r="S16" s="2">
        <f>-172</f>
        <v>-172</v>
      </c>
      <c r="T16" s="11">
        <f t="shared" si="0"/>
        <v>0.63235294117647056</v>
      </c>
    </row>
    <row r="18" spans="1:20" s="4" customFormat="1" x14ac:dyDescent="0.2">
      <c r="A18" s="5" t="s">
        <v>25</v>
      </c>
      <c r="C18" s="4">
        <f>SUM(C4:C16)</f>
        <v>467</v>
      </c>
      <c r="D18" s="4">
        <f>SUM(D4:D16)</f>
        <v>231</v>
      </c>
      <c r="E18" s="4">
        <f>SUM(E4:E16)</f>
        <v>-252.5</v>
      </c>
      <c r="F18" s="4">
        <f>SUM(F4:F16)</f>
        <v>-1437</v>
      </c>
      <c r="G18" s="4">
        <f>SUM(G4:G16)</f>
        <v>-265.52857142857147</v>
      </c>
      <c r="H18" s="4">
        <f>SUM(H4:H16)</f>
        <v>-16.5</v>
      </c>
      <c r="I18" s="4">
        <f>SUM(I4:I16)</f>
        <v>701</v>
      </c>
      <c r="J18" s="4">
        <f>SUM(J4:J16)</f>
        <v>476.75</v>
      </c>
      <c r="K18" s="4">
        <f>SUM(K4:K16)</f>
        <v>-9.75</v>
      </c>
      <c r="L18" s="4">
        <f>SUM(L4:L16)</f>
        <v>224.25</v>
      </c>
      <c r="M18" s="4">
        <f>SUM(M3:M16)</f>
        <v>6.75</v>
      </c>
      <c r="N18" s="4">
        <f t="shared" ref="N18:R18" si="7">SUM(N3:N16)</f>
        <v>-29.528571428571428</v>
      </c>
      <c r="O18" s="4">
        <f t="shared" si="7"/>
        <v>483.26428571428573</v>
      </c>
      <c r="P18" s="4">
        <f t="shared" si="7"/>
        <v>-16.264285714285709</v>
      </c>
      <c r="Q18" s="4">
        <f t="shared" si="7"/>
        <v>217.73571428571427</v>
      </c>
      <c r="R18" s="4">
        <f t="shared" si="7"/>
        <v>13.264285714285718</v>
      </c>
    </row>
    <row r="19" spans="1:20" s="7" customFormat="1" x14ac:dyDescent="0.2">
      <c r="A19" s="6" t="s">
        <v>26</v>
      </c>
      <c r="C19" s="7">
        <f t="shared" ref="C19:S19" si="8">AVERAGE(C4:C16)</f>
        <v>35.92307692307692</v>
      </c>
      <c r="D19" s="7">
        <f t="shared" si="8"/>
        <v>17.76923076923077</v>
      </c>
      <c r="E19" s="7">
        <f t="shared" si="8"/>
        <v>-19.423076923076923</v>
      </c>
      <c r="F19" s="7">
        <f t="shared" si="8"/>
        <v>-110.53846153846153</v>
      </c>
      <c r="G19" s="4">
        <f>AVERAGE(G4:G16)</f>
        <v>-20.425274725274729</v>
      </c>
      <c r="H19" s="7">
        <f t="shared" si="8"/>
        <v>-1.2692307692307692</v>
      </c>
      <c r="I19" s="7">
        <f t="shared" si="8"/>
        <v>53.92307692307692</v>
      </c>
      <c r="J19" s="7">
        <f t="shared" si="8"/>
        <v>36.67307692307692</v>
      </c>
      <c r="K19" s="7">
        <f t="shared" si="8"/>
        <v>-0.75</v>
      </c>
      <c r="L19" s="7">
        <f t="shared" si="8"/>
        <v>17.25</v>
      </c>
      <c r="M19" s="7">
        <f t="shared" si="8"/>
        <v>0.51923076923076927</v>
      </c>
      <c r="N19" s="7">
        <f t="shared" si="8"/>
        <v>-2.2714285714285714</v>
      </c>
      <c r="O19" s="7">
        <f t="shared" si="8"/>
        <v>37.174175824175826</v>
      </c>
      <c r="P19" s="7">
        <f t="shared" si="8"/>
        <v>-1.2510989010989007</v>
      </c>
      <c r="Q19" s="7">
        <f t="shared" si="8"/>
        <v>16.748901098901097</v>
      </c>
      <c r="R19" s="7">
        <f>AVERAGE(R4:R16)</f>
        <v>1.0203296703296707</v>
      </c>
      <c r="S19" s="7">
        <f t="shared" si="8"/>
        <v>-3080.6153846153848</v>
      </c>
      <c r="T19" s="8">
        <f>AVERAGE(T4:T17)</f>
        <v>0.86983486383223818</v>
      </c>
    </row>
  </sheetData>
  <dataConsolidate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1B71-59B5-4D4B-8B85-97241BCBDEB8}">
  <sheetPr>
    <tabColor rgb="FFFF0000"/>
  </sheetPr>
  <dimension ref="A1:T46"/>
  <sheetViews>
    <sheetView zoomScale="50" workbookViewId="0">
      <selection activeCell="Q35" sqref="Q35"/>
    </sheetView>
  </sheetViews>
  <sheetFormatPr baseColWidth="10" defaultColWidth="9.83203125" defaultRowHeight="15" x14ac:dyDescent="0.2"/>
  <cols>
    <col min="1" max="1" width="18.5" style="2" bestFit="1" customWidth="1"/>
    <col min="2" max="2" width="23.1640625" style="2" bestFit="1" customWidth="1"/>
    <col min="3" max="3" width="13.83203125" style="2" bestFit="1" customWidth="1"/>
    <col min="4" max="4" width="14.1640625" style="2" bestFit="1" customWidth="1"/>
    <col min="5" max="5" width="17.5" style="2" bestFit="1" customWidth="1"/>
    <col min="6" max="6" width="15.5" style="2" bestFit="1" customWidth="1"/>
    <col min="7" max="7" width="15.1640625" style="2" bestFit="1" customWidth="1"/>
    <col min="8" max="8" width="34.83203125" style="2" bestFit="1" customWidth="1"/>
    <col min="9" max="9" width="9.5" style="2" bestFit="1" customWidth="1"/>
    <col min="10" max="10" width="24.1640625" style="2" bestFit="1" customWidth="1"/>
    <col min="11" max="11" width="32.83203125" style="2" bestFit="1" customWidth="1"/>
    <col min="12" max="12" width="24.1640625" style="2" bestFit="1" customWidth="1"/>
    <col min="13" max="13" width="36.1640625" style="2" bestFit="1" customWidth="1"/>
    <col min="14" max="14" width="32.83203125" style="2" bestFit="1" customWidth="1"/>
    <col min="15" max="15" width="22.1640625" style="2" bestFit="1" customWidth="1"/>
    <col min="16" max="16" width="30.5" style="2" bestFit="1" customWidth="1"/>
    <col min="17" max="17" width="22.1640625" style="2" bestFit="1" customWidth="1"/>
    <col min="18" max="18" width="34.1640625" style="2" bestFit="1" customWidth="1"/>
    <col min="19" max="19" width="17.83203125" style="2" bestFit="1" customWidth="1"/>
    <col min="20" max="20" width="19.1640625" style="2" bestFit="1" customWidth="1"/>
    <col min="21" max="16384" width="9.83203125" style="2"/>
  </cols>
  <sheetData>
    <row r="1" spans="1:20" x14ac:dyDescent="0.2">
      <c r="A1" s="1" t="s">
        <v>38</v>
      </c>
      <c r="B1" s="1" t="s">
        <v>39</v>
      </c>
      <c r="C1" s="1" t="s">
        <v>2</v>
      </c>
      <c r="D1" s="1" t="s">
        <v>53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40</v>
      </c>
      <c r="C4" s="9">
        <v>34</v>
      </c>
      <c r="D4" s="9">
        <v>3</v>
      </c>
      <c r="E4" s="10">
        <f>-10.5</f>
        <v>-10.5</v>
      </c>
      <c r="F4" s="2">
        <f>-111</f>
        <v>-111</v>
      </c>
      <c r="G4" s="4">
        <f>E4*(F4/-105)</f>
        <v>-11.1</v>
      </c>
      <c r="H4" s="4">
        <f>(C4-D4) + E4</f>
        <v>20.5</v>
      </c>
      <c r="I4" s="3">
        <v>49</v>
      </c>
      <c r="J4" s="4">
        <f>I4/2 - E4/2</f>
        <v>29.75</v>
      </c>
      <c r="K4" s="4">
        <f>C4-J4</f>
        <v>4.25</v>
      </c>
      <c r="L4" s="4">
        <f>I4/2 + E4/2</f>
        <v>19.25</v>
      </c>
      <c r="M4" s="4">
        <f>D4-L4</f>
        <v>-16.25</v>
      </c>
      <c r="N4" s="4">
        <f>(C4-D4) + G4</f>
        <v>19.899999999999999</v>
      </c>
      <c r="O4" s="4">
        <f>I4/2 - G4/2</f>
        <v>30.05</v>
      </c>
      <c r="P4" s="4">
        <f>C4-O4</f>
        <v>3.9499999999999993</v>
      </c>
      <c r="Q4" s="4">
        <f>I4/2 + G4/2</f>
        <v>18.95</v>
      </c>
      <c r="R4" s="4">
        <f>D4-Q4</f>
        <v>-15.95</v>
      </c>
      <c r="S4" s="2">
        <v>-498</v>
      </c>
      <c r="T4" s="11">
        <f t="shared" ref="T4:T16" si="0">IF(S4&gt;0,100/(100+S4),ABS(S4)/(100+ABS(S4)))</f>
        <v>0.83277591973244147</v>
      </c>
    </row>
    <row r="5" spans="1:20" x14ac:dyDescent="0.2">
      <c r="A5" s="2">
        <v>2</v>
      </c>
      <c r="B5" s="2" t="s">
        <v>41</v>
      </c>
      <c r="C5" s="9">
        <v>48</v>
      </c>
      <c r="D5" s="9">
        <v>3</v>
      </c>
      <c r="E5" s="3">
        <f>-54.5</f>
        <v>-54.5</v>
      </c>
      <c r="F5" s="2">
        <f>-114</f>
        <v>-114</v>
      </c>
      <c r="G5" s="4">
        <f t="shared" ref="G5:G16" si="1">E5*(F5/-105)</f>
        <v>-59.171428571428564</v>
      </c>
      <c r="H5" s="4">
        <f>(C5-D5) + E5</f>
        <v>-9.5</v>
      </c>
      <c r="I5" s="3">
        <v>68.5</v>
      </c>
      <c r="J5" s="4">
        <f>I5/2 - E5/2</f>
        <v>61.5</v>
      </c>
      <c r="K5" s="4">
        <f>C5-J5</f>
        <v>-13.5</v>
      </c>
      <c r="L5" s="4">
        <f>I5/2 + E5/2</f>
        <v>7</v>
      </c>
      <c r="M5" s="4">
        <f>D5-L5</f>
        <v>-4</v>
      </c>
      <c r="N5" s="4">
        <f t="shared" ref="N5:N16" si="2">(C5-D5) + G5</f>
        <v>-14.171428571428564</v>
      </c>
      <c r="O5" s="4">
        <f t="shared" ref="O5:O16" si="3">I5/2 - G5/2</f>
        <v>63.835714285714282</v>
      </c>
      <c r="P5" s="4">
        <f t="shared" ref="P5:P16" si="4">C5-O5</f>
        <v>-15.835714285714282</v>
      </c>
      <c r="Q5" s="4">
        <f t="shared" ref="Q5:Q16" si="5">I5/2 + G5/2</f>
        <v>4.6642857142857181</v>
      </c>
      <c r="R5" s="4">
        <f t="shared" ref="R5:R16" si="6">D5-Q5</f>
        <v>-1.6642857142857181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42</v>
      </c>
      <c r="C6" s="9">
        <v>13</v>
      </c>
      <c r="D6" s="9">
        <v>12</v>
      </c>
      <c r="E6" s="3">
        <v>-22</v>
      </c>
      <c r="F6" s="2">
        <v>-110</v>
      </c>
      <c r="G6" s="4">
        <f t="shared" si="1"/>
        <v>-23.047619047619047</v>
      </c>
      <c r="H6" s="4">
        <f>(C6-D6) + E6</f>
        <v>-21</v>
      </c>
      <c r="I6" s="3">
        <v>45.5</v>
      </c>
      <c r="J6" s="4">
        <f>I6/2 - E6/2</f>
        <v>33.75</v>
      </c>
      <c r="K6" s="4">
        <f>C6-J6</f>
        <v>-20.75</v>
      </c>
      <c r="L6" s="4">
        <f>I6/2 + E6/2</f>
        <v>11.75</v>
      </c>
      <c r="M6" s="4">
        <f>D6-L6</f>
        <v>0.25</v>
      </c>
      <c r="N6" s="4">
        <f t="shared" si="2"/>
        <v>-22.047619047619047</v>
      </c>
      <c r="O6" s="4">
        <f t="shared" si="3"/>
        <v>34.273809523809526</v>
      </c>
      <c r="P6" s="4">
        <f t="shared" si="4"/>
        <v>-21.273809523809526</v>
      </c>
      <c r="Q6" s="4">
        <f t="shared" si="5"/>
        <v>11.226190476190476</v>
      </c>
      <c r="R6" s="4">
        <f t="shared" si="6"/>
        <v>0.77380952380952372</v>
      </c>
      <c r="S6" s="2">
        <v>-2972</v>
      </c>
      <c r="T6" s="11">
        <f t="shared" si="0"/>
        <v>0.96744791666666663</v>
      </c>
    </row>
    <row r="7" spans="1:20" x14ac:dyDescent="0.2">
      <c r="A7" s="2">
        <v>4</v>
      </c>
      <c r="B7" s="2" t="s">
        <v>43</v>
      </c>
      <c r="C7" s="2">
        <v>34</v>
      </c>
      <c r="D7" s="2">
        <v>41</v>
      </c>
      <c r="E7" s="3">
        <f>-2</f>
        <v>-2</v>
      </c>
      <c r="F7" s="2">
        <f>-110</f>
        <v>-110</v>
      </c>
      <c r="G7" s="4">
        <f t="shared" si="1"/>
        <v>-2.0952380952380953</v>
      </c>
      <c r="H7" s="4">
        <f>(C7-D7) + E7</f>
        <v>-9</v>
      </c>
      <c r="I7" s="3">
        <v>50</v>
      </c>
      <c r="J7" s="4">
        <f>I7/2 - E7/2</f>
        <v>26</v>
      </c>
      <c r="K7" s="4">
        <f>C7-J7</f>
        <v>8</v>
      </c>
      <c r="L7" s="4">
        <f>I7/2 + E7/2</f>
        <v>24</v>
      </c>
      <c r="M7" s="4">
        <f>D7-L7</f>
        <v>17</v>
      </c>
      <c r="N7" s="4">
        <f t="shared" si="2"/>
        <v>-9.0952380952380949</v>
      </c>
      <c r="O7" s="4">
        <f t="shared" si="3"/>
        <v>26.047619047619047</v>
      </c>
      <c r="P7" s="4">
        <f t="shared" si="4"/>
        <v>7.9523809523809526</v>
      </c>
      <c r="Q7" s="4">
        <f t="shared" si="5"/>
        <v>23.952380952380953</v>
      </c>
      <c r="R7" s="4">
        <f t="shared" si="6"/>
        <v>17.047619047619047</v>
      </c>
      <c r="S7" s="2">
        <v>-124</v>
      </c>
      <c r="T7" s="11">
        <f t="shared" si="0"/>
        <v>0.5535714285714286</v>
      </c>
    </row>
    <row r="8" spans="1:20" x14ac:dyDescent="0.2">
      <c r="A8" s="2">
        <v>5</v>
      </c>
      <c r="B8" s="2" t="s">
        <v>44</v>
      </c>
      <c r="C8" s="9">
        <v>31</v>
      </c>
      <c r="D8" s="9">
        <v>13</v>
      </c>
      <c r="E8" s="3">
        <f>-21.5</f>
        <v>-21.5</v>
      </c>
      <c r="F8" s="2">
        <f>-109</f>
        <v>-109</v>
      </c>
      <c r="G8" s="4">
        <f t="shared" si="1"/>
        <v>-22.31904761904762</v>
      </c>
      <c r="H8" s="4">
        <f>(C8-D8) + E8</f>
        <v>-3.5</v>
      </c>
      <c r="I8" s="3">
        <v>50.5</v>
      </c>
      <c r="J8" s="4">
        <f>I8/2 - E8/2</f>
        <v>36</v>
      </c>
      <c r="K8" s="4">
        <f>C8-J8</f>
        <v>-5</v>
      </c>
      <c r="L8" s="4">
        <f>I8/2 + E8/2</f>
        <v>14.5</v>
      </c>
      <c r="M8" s="4">
        <f>D8-L8</f>
        <v>-1.5</v>
      </c>
      <c r="N8" s="4">
        <f t="shared" si="2"/>
        <v>-4.3190476190476197</v>
      </c>
      <c r="O8" s="4">
        <f t="shared" si="3"/>
        <v>36.409523809523812</v>
      </c>
      <c r="P8" s="4">
        <f t="shared" si="4"/>
        <v>-5.4095238095238116</v>
      </c>
      <c r="Q8" s="4">
        <f t="shared" si="5"/>
        <v>14.09047619047619</v>
      </c>
      <c r="R8" s="4">
        <f t="shared" si="6"/>
        <v>-1.0904761904761902</v>
      </c>
      <c r="S8" s="2">
        <v>-2006</v>
      </c>
      <c r="T8" s="11">
        <f t="shared" si="0"/>
        <v>0.9525166191832859</v>
      </c>
    </row>
    <row r="9" spans="1:20" x14ac:dyDescent="0.2">
      <c r="A9" s="2">
        <v>6</v>
      </c>
      <c r="B9" s="2" t="s">
        <v>45</v>
      </c>
      <c r="C9" s="9">
        <v>41</v>
      </c>
      <c r="D9" s="9">
        <v>31</v>
      </c>
      <c r="E9" s="3">
        <f>-33.5</f>
        <v>-33.5</v>
      </c>
      <c r="F9" s="2">
        <f>-112</f>
        <v>-112</v>
      </c>
      <c r="G9" s="4">
        <f t="shared" si="1"/>
        <v>-35.733333333333334</v>
      </c>
      <c r="H9" s="4">
        <f>(C9-D9) + E9</f>
        <v>-23.5</v>
      </c>
      <c r="I9" s="3">
        <v>53.5</v>
      </c>
      <c r="J9" s="4">
        <f>I9/2 - E9/2</f>
        <v>43.5</v>
      </c>
      <c r="K9" s="4">
        <f>C9-J9</f>
        <v>-2.5</v>
      </c>
      <c r="L9" s="4">
        <f>I9/2 + E9/2</f>
        <v>10</v>
      </c>
      <c r="M9" s="4">
        <f>D9-L9</f>
        <v>21</v>
      </c>
      <c r="N9" s="4">
        <f t="shared" si="2"/>
        <v>-25.733333333333334</v>
      </c>
      <c r="O9" s="4">
        <f t="shared" si="3"/>
        <v>44.616666666666667</v>
      </c>
      <c r="P9" s="4">
        <f t="shared" si="4"/>
        <v>-3.6166666666666671</v>
      </c>
      <c r="Q9" s="4">
        <f t="shared" si="5"/>
        <v>8.8833333333333329</v>
      </c>
      <c r="R9" s="4">
        <f t="shared" si="6"/>
        <v>22.116666666666667</v>
      </c>
      <c r="S9" s="2">
        <v>-17000</v>
      </c>
      <c r="T9" s="11">
        <f t="shared" si="0"/>
        <v>0.99415204678362568</v>
      </c>
    </row>
    <row r="10" spans="1:20" x14ac:dyDescent="0.2">
      <c r="A10" s="2">
        <v>7</v>
      </c>
      <c r="B10" s="2" t="s">
        <v>46</v>
      </c>
      <c r="C10" s="9">
        <v>30</v>
      </c>
      <c r="D10" s="9">
        <v>15</v>
      </c>
      <c r="E10" s="10">
        <f>4</f>
        <v>4</v>
      </c>
      <c r="F10" s="2">
        <f>-112</f>
        <v>-112</v>
      </c>
      <c r="G10" s="4">
        <f t="shared" si="1"/>
        <v>4.2666666666666666</v>
      </c>
      <c r="H10" s="4">
        <f>(C10-D10) + E10</f>
        <v>19</v>
      </c>
      <c r="I10" s="3">
        <v>57</v>
      </c>
      <c r="J10" s="4">
        <f>I10/2 - E10/2</f>
        <v>26.5</v>
      </c>
      <c r="K10" s="4">
        <f>C10-J10</f>
        <v>3.5</v>
      </c>
      <c r="L10" s="4">
        <f>I10/2 + E10/2</f>
        <v>30.5</v>
      </c>
      <c r="M10" s="4">
        <f>D10-L10</f>
        <v>-15.5</v>
      </c>
      <c r="N10" s="4">
        <f t="shared" si="2"/>
        <v>19.266666666666666</v>
      </c>
      <c r="O10" s="4">
        <f t="shared" si="3"/>
        <v>26.366666666666667</v>
      </c>
      <c r="P10" s="4">
        <f t="shared" si="4"/>
        <v>3.6333333333333329</v>
      </c>
      <c r="Q10" s="4">
        <f t="shared" si="5"/>
        <v>30.633333333333333</v>
      </c>
      <c r="R10" s="4">
        <f t="shared" si="6"/>
        <v>-15.633333333333333</v>
      </c>
      <c r="S10" s="2">
        <f>160</f>
        <v>160</v>
      </c>
      <c r="T10" s="11">
        <f t="shared" si="0"/>
        <v>0.38461538461538464</v>
      </c>
    </row>
    <row r="11" spans="1:20" x14ac:dyDescent="0.2">
      <c r="A11" s="2">
        <v>8</v>
      </c>
      <c r="B11" s="2" t="s">
        <v>47</v>
      </c>
      <c r="C11" s="9">
        <v>34</v>
      </c>
      <c r="D11" s="9">
        <v>20</v>
      </c>
      <c r="E11" s="3">
        <f>-14.5</f>
        <v>-14.5</v>
      </c>
      <c r="F11" s="2">
        <f>-110</f>
        <v>-110</v>
      </c>
      <c r="G11" s="4">
        <f t="shared" si="1"/>
        <v>-15.190476190476192</v>
      </c>
      <c r="H11" s="4">
        <f>(C11-D11) + E11</f>
        <v>-0.5</v>
      </c>
      <c r="I11" s="3">
        <v>52.5</v>
      </c>
      <c r="J11" s="4">
        <f>I11/2 - E11/2</f>
        <v>33.5</v>
      </c>
      <c r="K11" s="4">
        <f>C11-J11</f>
        <v>0.5</v>
      </c>
      <c r="L11" s="4">
        <f>I11/2 + E11/2</f>
        <v>19</v>
      </c>
      <c r="M11" s="4">
        <f>D11-L11</f>
        <v>1</v>
      </c>
      <c r="N11" s="4">
        <f t="shared" si="2"/>
        <v>-1.1904761904761916</v>
      </c>
      <c r="O11" s="4">
        <f t="shared" si="3"/>
        <v>33.845238095238095</v>
      </c>
      <c r="P11" s="4">
        <f t="shared" si="4"/>
        <v>0.1547619047619051</v>
      </c>
      <c r="Q11" s="4">
        <f t="shared" si="5"/>
        <v>18.654761904761905</v>
      </c>
      <c r="R11" s="4">
        <f t="shared" si="6"/>
        <v>1.3452380952380949</v>
      </c>
      <c r="S11" s="2">
        <v>-700</v>
      </c>
      <c r="T11" s="11">
        <f t="shared" si="0"/>
        <v>0.875</v>
      </c>
    </row>
    <row r="12" spans="1:20" x14ac:dyDescent="0.2">
      <c r="A12" s="2">
        <v>9</v>
      </c>
      <c r="B12" s="2" t="s">
        <v>48</v>
      </c>
      <c r="C12" s="2">
        <v>10</v>
      </c>
      <c r="D12" s="2">
        <v>28</v>
      </c>
      <c r="E12" s="3">
        <f>-1.5</f>
        <v>-1.5</v>
      </c>
      <c r="F12" s="2">
        <f>-112</f>
        <v>-112</v>
      </c>
      <c r="G12" s="4">
        <f t="shared" si="1"/>
        <v>-1.6</v>
      </c>
      <c r="H12" s="4">
        <f>(C12-D12) + E12</f>
        <v>-19.5</v>
      </c>
      <c r="I12" s="3">
        <v>55.5</v>
      </c>
      <c r="J12" s="4">
        <f>I12/2 - E12/2</f>
        <v>28.5</v>
      </c>
      <c r="K12" s="4">
        <f>C12-J12</f>
        <v>-18.5</v>
      </c>
      <c r="L12" s="4">
        <f>I12/2 + E12/2</f>
        <v>27</v>
      </c>
      <c r="M12" s="4">
        <f>D12-L12</f>
        <v>1</v>
      </c>
      <c r="N12" s="4">
        <f t="shared" si="2"/>
        <v>-19.600000000000001</v>
      </c>
      <c r="O12" s="4">
        <f t="shared" si="3"/>
        <v>28.55</v>
      </c>
      <c r="P12" s="4">
        <f t="shared" si="4"/>
        <v>-18.55</v>
      </c>
      <c r="Q12" s="4">
        <f t="shared" si="5"/>
        <v>26.95</v>
      </c>
      <c r="R12" s="4">
        <f t="shared" si="6"/>
        <v>1.0500000000000007</v>
      </c>
      <c r="S12" s="2">
        <v>-130</v>
      </c>
      <c r="T12" s="11">
        <f t="shared" si="0"/>
        <v>0.56521739130434778</v>
      </c>
    </row>
    <row r="13" spans="1:20" x14ac:dyDescent="0.2">
      <c r="A13" s="2">
        <v>10</v>
      </c>
      <c r="B13" s="2" t="s">
        <v>49</v>
      </c>
      <c r="C13" s="9">
        <v>31</v>
      </c>
      <c r="D13" s="9">
        <v>17</v>
      </c>
      <c r="E13" s="10">
        <f>-9</f>
        <v>-9</v>
      </c>
      <c r="F13" s="2">
        <f>-109</f>
        <v>-109</v>
      </c>
      <c r="G13" s="4">
        <f t="shared" si="1"/>
        <v>-9.3428571428571434</v>
      </c>
      <c r="H13" s="4">
        <f>(C13-D13) + E13</f>
        <v>5</v>
      </c>
      <c r="I13" s="3">
        <v>46.5</v>
      </c>
      <c r="J13" s="4">
        <f>I13/2 - E13/2</f>
        <v>27.75</v>
      </c>
      <c r="K13" s="4">
        <f>C13-J13</f>
        <v>3.25</v>
      </c>
      <c r="L13" s="4">
        <f>I13/2 + E13/2</f>
        <v>18.75</v>
      </c>
      <c r="M13" s="4">
        <f>D13-L13</f>
        <v>-1.75</v>
      </c>
      <c r="N13" s="4">
        <f t="shared" si="2"/>
        <v>4.6571428571428566</v>
      </c>
      <c r="O13" s="4">
        <f t="shared" si="3"/>
        <v>27.921428571428571</v>
      </c>
      <c r="P13" s="4">
        <f t="shared" si="4"/>
        <v>3.0785714285714292</v>
      </c>
      <c r="Q13" s="4">
        <f t="shared" si="5"/>
        <v>18.578571428571429</v>
      </c>
      <c r="R13" s="4">
        <f t="shared" si="6"/>
        <v>-1.5785714285714292</v>
      </c>
      <c r="S13" s="2">
        <v>-336</v>
      </c>
      <c r="T13" s="11">
        <f t="shared" si="0"/>
        <v>0.77064220183486243</v>
      </c>
    </row>
    <row r="14" spans="1:20" x14ac:dyDescent="0.2">
      <c r="A14" s="2">
        <v>11</v>
      </c>
      <c r="B14" s="2" t="s">
        <v>50</v>
      </c>
      <c r="C14" s="9">
        <v>59</v>
      </c>
      <c r="D14" s="9">
        <v>21</v>
      </c>
      <c r="E14" s="3">
        <f>-42</f>
        <v>-42</v>
      </c>
      <c r="F14" s="2">
        <f>-113</f>
        <v>-113</v>
      </c>
      <c r="G14" s="4">
        <f t="shared" si="1"/>
        <v>-45.199999999999996</v>
      </c>
      <c r="H14" s="4">
        <f>(C14-D14) + E14</f>
        <v>-4</v>
      </c>
      <c r="I14" s="3">
        <v>55.5</v>
      </c>
      <c r="J14" s="4">
        <f>I14/2 - E14/2</f>
        <v>48.75</v>
      </c>
      <c r="K14" s="4">
        <f>C14-J14</f>
        <v>10.25</v>
      </c>
      <c r="L14" s="4">
        <f>I14/2 + E14/2</f>
        <v>6.75</v>
      </c>
      <c r="M14" s="4">
        <f>D14-L14</f>
        <v>14.25</v>
      </c>
      <c r="N14" s="4">
        <f t="shared" si="2"/>
        <v>-7.1999999999999957</v>
      </c>
      <c r="O14" s="4">
        <f t="shared" si="3"/>
        <v>50.349999999999994</v>
      </c>
      <c r="P14" s="4">
        <f t="shared" si="4"/>
        <v>8.6500000000000057</v>
      </c>
      <c r="Q14" s="4">
        <f t="shared" si="5"/>
        <v>5.1500000000000021</v>
      </c>
      <c r="R14" s="4">
        <f t="shared" si="6"/>
        <v>15.849999999999998</v>
      </c>
      <c r="S14" s="2">
        <v>-20000</v>
      </c>
      <c r="T14" s="11">
        <f t="shared" si="0"/>
        <v>0.99502487562189057</v>
      </c>
    </row>
    <row r="15" spans="1:20" x14ac:dyDescent="0.2">
      <c r="A15" s="2">
        <v>12</v>
      </c>
      <c r="B15" s="2" t="s">
        <v>51</v>
      </c>
      <c r="C15" s="9">
        <v>44</v>
      </c>
      <c r="D15" s="9">
        <v>42</v>
      </c>
      <c r="E15" s="3">
        <f>-17.5</f>
        <v>-17.5</v>
      </c>
      <c r="F15" s="2">
        <f>-108</f>
        <v>-108</v>
      </c>
      <c r="G15" s="4">
        <f t="shared" si="1"/>
        <v>-18</v>
      </c>
      <c r="H15" s="4">
        <f>(C15-D15) + E15</f>
        <v>-15.5</v>
      </c>
      <c r="I15" s="3">
        <v>49</v>
      </c>
      <c r="J15" s="4">
        <f>I15/2 - E15/2</f>
        <v>33.25</v>
      </c>
      <c r="K15" s="4">
        <f>C15-J15</f>
        <v>10.75</v>
      </c>
      <c r="L15" s="4">
        <f>I15/2 + E15/2</f>
        <v>15.75</v>
      </c>
      <c r="M15" s="4">
        <f>D15-L15</f>
        <v>26.25</v>
      </c>
      <c r="N15" s="4">
        <f t="shared" si="2"/>
        <v>-16</v>
      </c>
      <c r="O15" s="4">
        <f t="shared" si="3"/>
        <v>33.5</v>
      </c>
      <c r="P15" s="4">
        <f t="shared" si="4"/>
        <v>10.5</v>
      </c>
      <c r="Q15" s="4">
        <f t="shared" si="5"/>
        <v>15.5</v>
      </c>
      <c r="R15" s="4">
        <f t="shared" si="6"/>
        <v>26.5</v>
      </c>
      <c r="S15" s="2">
        <v>-1000</v>
      </c>
      <c r="T15" s="11">
        <f t="shared" si="0"/>
        <v>0.90909090909090906</v>
      </c>
    </row>
    <row r="16" spans="1:20" x14ac:dyDescent="0.2">
      <c r="A16" s="2" t="s">
        <v>52</v>
      </c>
      <c r="B16" s="2" t="s">
        <v>46</v>
      </c>
      <c r="C16" s="9">
        <v>22</v>
      </c>
      <c r="D16" s="9">
        <v>19</v>
      </c>
      <c r="E16" s="10">
        <f>3</f>
        <v>3</v>
      </c>
      <c r="F16" s="2">
        <f>-111</f>
        <v>-111</v>
      </c>
      <c r="G16" s="4">
        <f t="shared" si="1"/>
        <v>3.1714285714285717</v>
      </c>
      <c r="H16" s="4">
        <f>(C16-D16) + E16</f>
        <v>6</v>
      </c>
      <c r="I16" s="3">
        <v>51</v>
      </c>
      <c r="J16" s="4">
        <f>I16/2 - E16/2</f>
        <v>24</v>
      </c>
      <c r="K16" s="4">
        <f>C16-J16</f>
        <v>-2</v>
      </c>
      <c r="L16" s="4">
        <f>I16/2 + E16/2</f>
        <v>27</v>
      </c>
      <c r="M16" s="4">
        <f>D16-L16</f>
        <v>-8</v>
      </c>
      <c r="N16" s="4">
        <f t="shared" si="2"/>
        <v>6.1714285714285717</v>
      </c>
      <c r="O16" s="4">
        <f t="shared" si="3"/>
        <v>23.914285714285715</v>
      </c>
      <c r="P16" s="4">
        <f t="shared" si="4"/>
        <v>-1.9142857142857146</v>
      </c>
      <c r="Q16" s="4">
        <f t="shared" si="5"/>
        <v>27.085714285714285</v>
      </c>
      <c r="R16" s="4">
        <f t="shared" si="6"/>
        <v>-8.0857142857142854</v>
      </c>
      <c r="S16" s="2">
        <v>132</v>
      </c>
      <c r="T16" s="11">
        <f t="shared" si="0"/>
        <v>0.43103448275862066</v>
      </c>
    </row>
    <row r="18" spans="1:20" s="4" customFormat="1" x14ac:dyDescent="0.2">
      <c r="A18" s="5" t="s">
        <v>25</v>
      </c>
      <c r="C18" s="4">
        <f>SUM(C4:C16)</f>
        <v>431</v>
      </c>
      <c r="D18" s="4">
        <f>SUM(D4:D16)</f>
        <v>265</v>
      </c>
      <c r="E18" s="4">
        <f t="shared" ref="E18:F18" si="7">SUM(E4:E16)</f>
        <v>-221.5</v>
      </c>
      <c r="F18" s="4">
        <f t="shared" si="7"/>
        <v>-1441</v>
      </c>
      <c r="G18" s="4">
        <f>SUM(G4:G16)</f>
        <v>-235.36190476190475</v>
      </c>
      <c r="H18" s="4">
        <f>SUM(H4:H16)</f>
        <v>-55.5</v>
      </c>
      <c r="I18" s="4">
        <f>SUM(I4:I16)</f>
        <v>684</v>
      </c>
      <c r="J18" s="4">
        <f>SUM(J4:J16)</f>
        <v>452.75</v>
      </c>
      <c r="K18" s="4">
        <f>SUM(K4:K16)</f>
        <v>-21.75</v>
      </c>
      <c r="L18" s="4">
        <f>SUM(L4:L16)</f>
        <v>231.25</v>
      </c>
      <c r="M18" s="4">
        <f>SUM(M3:M16)</f>
        <v>33.75</v>
      </c>
      <c r="N18" s="4">
        <f t="shared" ref="N18:R18" si="8">SUM(N3:N16)</f>
        <v>-69.361904761904754</v>
      </c>
      <c r="O18" s="4">
        <f t="shared" si="8"/>
        <v>459.68095238095236</v>
      </c>
      <c r="P18" s="4">
        <f t="shared" si="8"/>
        <v>-28.680952380952373</v>
      </c>
      <c r="Q18" s="4">
        <f t="shared" si="8"/>
        <v>224.31904761904761</v>
      </c>
      <c r="R18" s="4">
        <f t="shared" si="8"/>
        <v>40.680952380952377</v>
      </c>
    </row>
    <row r="19" spans="1:20" s="7" customFormat="1" x14ac:dyDescent="0.2">
      <c r="A19" s="6" t="s">
        <v>26</v>
      </c>
      <c r="C19" s="7">
        <f t="shared" ref="C19:S19" si="9">AVERAGE(C4:C16)</f>
        <v>33.153846153846153</v>
      </c>
      <c r="D19" s="7">
        <f t="shared" si="9"/>
        <v>20.384615384615383</v>
      </c>
      <c r="E19" s="7">
        <f t="shared" si="9"/>
        <v>-17.03846153846154</v>
      </c>
      <c r="F19" s="7">
        <f t="shared" si="9"/>
        <v>-110.84615384615384</v>
      </c>
      <c r="G19" s="4">
        <f>AVERAGE(G4:G16)</f>
        <v>-18.104761904761904</v>
      </c>
      <c r="H19" s="7">
        <f t="shared" si="9"/>
        <v>-4.2692307692307692</v>
      </c>
      <c r="I19" s="7">
        <f t="shared" si="9"/>
        <v>52.615384615384613</v>
      </c>
      <c r="J19" s="7">
        <f t="shared" si="9"/>
        <v>34.82692307692308</v>
      </c>
      <c r="K19" s="7">
        <f t="shared" si="9"/>
        <v>-1.6730769230769231</v>
      </c>
      <c r="L19" s="7">
        <f t="shared" si="9"/>
        <v>17.78846153846154</v>
      </c>
      <c r="M19" s="7">
        <f t="shared" si="9"/>
        <v>2.5961538461538463</v>
      </c>
      <c r="N19" s="7">
        <f t="shared" si="9"/>
        <v>-5.3355311355311352</v>
      </c>
      <c r="O19" s="7">
        <f t="shared" si="9"/>
        <v>35.360073260073257</v>
      </c>
      <c r="P19" s="7">
        <f t="shared" si="9"/>
        <v>-2.2062271062271055</v>
      </c>
      <c r="Q19" s="7">
        <f t="shared" si="9"/>
        <v>17.255311355311356</v>
      </c>
      <c r="R19" s="7">
        <f>AVERAGE(R4:R16)</f>
        <v>3.1293040293040288</v>
      </c>
      <c r="S19" s="7">
        <f t="shared" si="9"/>
        <v>-4959.5384615384619</v>
      </c>
      <c r="T19" s="8">
        <f>AVERAGE(T4:T17)</f>
        <v>0.78662415782964257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D982-478E-B948-9523-397A4ED6A9DB}">
  <sheetPr>
    <tabColor theme="4"/>
  </sheetPr>
  <dimension ref="A1:T18"/>
  <sheetViews>
    <sheetView zoomScale="50" workbookViewId="0">
      <selection activeCell="Q32" sqref="Q32"/>
    </sheetView>
  </sheetViews>
  <sheetFormatPr baseColWidth="10" defaultColWidth="9.83203125" defaultRowHeight="15" x14ac:dyDescent="0.2"/>
  <cols>
    <col min="1" max="1" width="19.83203125" style="2" bestFit="1" customWidth="1"/>
    <col min="2" max="2" width="24.1640625" style="2" bestFit="1" customWidth="1"/>
    <col min="3" max="3" width="13.83203125" style="2" bestFit="1" customWidth="1"/>
    <col min="4" max="4" width="22.83203125" style="2" bestFit="1" customWidth="1"/>
    <col min="5" max="5" width="17.5" style="2" bestFit="1" customWidth="1"/>
    <col min="6" max="6" width="15.5" style="2" bestFit="1" customWidth="1"/>
    <col min="7" max="7" width="15.1640625" style="2" bestFit="1" customWidth="1"/>
    <col min="8" max="8" width="34.83203125" style="2" bestFit="1" customWidth="1"/>
    <col min="9" max="9" width="9.5" style="2" bestFit="1" customWidth="1"/>
    <col min="10" max="10" width="24.1640625" style="2" bestFit="1" customWidth="1"/>
    <col min="11" max="11" width="32.83203125" style="2" bestFit="1" customWidth="1"/>
    <col min="12" max="12" width="24.1640625" style="2" bestFit="1" customWidth="1"/>
    <col min="13" max="13" width="36.1640625" style="2" bestFit="1" customWidth="1"/>
    <col min="14" max="14" width="32.83203125" style="2" bestFit="1" customWidth="1"/>
    <col min="15" max="15" width="22.1640625" style="2" bestFit="1" customWidth="1"/>
    <col min="16" max="16" width="30.5" style="2" bestFit="1" customWidth="1"/>
    <col min="17" max="17" width="22.1640625" style="2" bestFit="1" customWidth="1"/>
    <col min="18" max="18" width="34.1640625" style="2" bestFit="1" customWidth="1"/>
    <col min="19" max="19" width="17.83203125" style="2" bestFit="1" customWidth="1"/>
    <col min="20" max="20" width="19.1640625" style="2" bestFit="1" customWidth="1"/>
    <col min="21" max="16384" width="9.83203125" style="2"/>
  </cols>
  <sheetData>
    <row r="1" spans="1:20" x14ac:dyDescent="0.2">
      <c r="A1" s="1" t="s">
        <v>54</v>
      </c>
      <c r="B1" s="1" t="s">
        <v>55</v>
      </c>
      <c r="C1" s="1" t="s">
        <v>2</v>
      </c>
      <c r="D1" s="1" t="s">
        <v>65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56</v>
      </c>
      <c r="C4" s="9">
        <v>23</v>
      </c>
      <c r="D4" s="9">
        <v>13</v>
      </c>
      <c r="E4" s="10">
        <f>3</f>
        <v>3</v>
      </c>
      <c r="F4" s="2">
        <f>-113</f>
        <v>-113</v>
      </c>
      <c r="G4" s="4">
        <f>E4*(F4/-105)</f>
        <v>3.2285714285714286</v>
      </c>
      <c r="H4" s="4">
        <f>(C4-D4) + E4</f>
        <v>13</v>
      </c>
      <c r="I4" s="3">
        <v>47</v>
      </c>
      <c r="J4" s="4">
        <f>I4/2 - E4/2</f>
        <v>22</v>
      </c>
      <c r="K4" s="4">
        <f>C4-J4</f>
        <v>1</v>
      </c>
      <c r="L4" s="4">
        <f>I4/2 + E4/2</f>
        <v>25</v>
      </c>
      <c r="M4" s="4">
        <f>D4-L4</f>
        <v>-12</v>
      </c>
      <c r="N4" s="4">
        <f>(C4-D4) + G4</f>
        <v>13.228571428571428</v>
      </c>
      <c r="O4" s="4">
        <f>I4/2 - G4/2</f>
        <v>21.885714285714286</v>
      </c>
      <c r="P4" s="4">
        <f>C4-O4</f>
        <v>1.1142857142857139</v>
      </c>
      <c r="Q4" s="4">
        <f>I4/2 + G4/2</f>
        <v>25.114285714285714</v>
      </c>
      <c r="R4" s="4">
        <f>D4-Q4</f>
        <v>-12.114285714285714</v>
      </c>
      <c r="S4" s="2">
        <v>127</v>
      </c>
      <c r="T4" s="11">
        <f t="shared" ref="T4:T15" si="0">IF(S4&gt;0,100/(100+S4),ABS(S4)/(100+ABS(S4)))</f>
        <v>0.44052863436123346</v>
      </c>
    </row>
    <row r="5" spans="1:20" x14ac:dyDescent="0.2">
      <c r="A5" s="2">
        <v>2</v>
      </c>
      <c r="B5" s="2" t="s">
        <v>57</v>
      </c>
      <c r="C5" s="2">
        <v>14</v>
      </c>
      <c r="D5" s="2">
        <v>16</v>
      </c>
      <c r="E5" s="3">
        <v>-28</v>
      </c>
      <c r="F5" s="2">
        <v>-109</v>
      </c>
      <c r="G5" s="4">
        <f t="shared" ref="G5:G15" si="1">E5*(F5/-105)</f>
        <v>-29.06666666666667</v>
      </c>
      <c r="H5" s="4">
        <f>(C5-D5) + E5</f>
        <v>-30</v>
      </c>
      <c r="I5" s="3">
        <v>47.5</v>
      </c>
      <c r="J5" s="4">
        <f>I5/2 - E5/2</f>
        <v>37.75</v>
      </c>
      <c r="K5" s="4">
        <f>C5-J5</f>
        <v>-23.75</v>
      </c>
      <c r="L5" s="4">
        <f>I5/2 + E5/2</f>
        <v>9.75</v>
      </c>
      <c r="M5" s="4">
        <f>D5-L5</f>
        <v>6.25</v>
      </c>
      <c r="N5" s="4">
        <f t="shared" ref="N5:N15" si="2">(C5-D5) + G5</f>
        <v>-31.06666666666667</v>
      </c>
      <c r="O5" s="4">
        <f t="shared" ref="O5:O15" si="3">I5/2 - G5/2</f>
        <v>38.283333333333331</v>
      </c>
      <c r="P5" s="4">
        <f t="shared" ref="P5:P15" si="4">C5-O5</f>
        <v>-24.283333333333331</v>
      </c>
      <c r="Q5" s="4">
        <f t="shared" ref="Q5:Q15" si="5">I5/2 + G5/2</f>
        <v>9.216666666666665</v>
      </c>
      <c r="R5" s="4">
        <f t="shared" ref="R5:R15" si="6">D5-Q5</f>
        <v>6.783333333333335</v>
      </c>
      <c r="S5" s="2">
        <v>-6249</v>
      </c>
      <c r="T5" s="11">
        <f t="shared" si="0"/>
        <v>0.98424948810836355</v>
      </c>
    </row>
    <row r="6" spans="1:20" x14ac:dyDescent="0.2">
      <c r="A6" s="2">
        <v>3</v>
      </c>
      <c r="B6" s="2" t="s">
        <v>21</v>
      </c>
      <c r="C6" s="9">
        <v>66</v>
      </c>
      <c r="D6" s="9">
        <v>7</v>
      </c>
      <c r="E6" s="10">
        <v>-7</v>
      </c>
      <c r="F6" s="2">
        <v>-116</v>
      </c>
      <c r="G6" s="4">
        <f t="shared" si="1"/>
        <v>-7.7333333333333343</v>
      </c>
      <c r="H6" s="4">
        <f>(C6-D6) + E6</f>
        <v>52</v>
      </c>
      <c r="I6" s="3">
        <v>47</v>
      </c>
      <c r="J6" s="4">
        <f>I6/2 - E6/2</f>
        <v>27</v>
      </c>
      <c r="K6" s="4">
        <f>C6-J6</f>
        <v>39</v>
      </c>
      <c r="L6" s="4">
        <f>I6/2 + E6/2</f>
        <v>20</v>
      </c>
      <c r="M6" s="4">
        <f>D6-L6</f>
        <v>-13</v>
      </c>
      <c r="N6" s="4">
        <f t="shared" si="2"/>
        <v>51.266666666666666</v>
      </c>
      <c r="O6" s="4">
        <f t="shared" si="3"/>
        <v>27.366666666666667</v>
      </c>
      <c r="P6" s="4">
        <f t="shared" si="4"/>
        <v>38.633333333333333</v>
      </c>
      <c r="Q6" s="4">
        <f t="shared" si="5"/>
        <v>19.633333333333333</v>
      </c>
      <c r="R6" s="4">
        <f t="shared" si="6"/>
        <v>-12.633333333333333</v>
      </c>
      <c r="S6" s="2">
        <v>-273</v>
      </c>
      <c r="T6" s="11">
        <f t="shared" si="0"/>
        <v>0.73190348525469173</v>
      </c>
    </row>
    <row r="7" spans="1:20" x14ac:dyDescent="0.2">
      <c r="A7" s="2">
        <v>4</v>
      </c>
      <c r="B7" s="2" t="s">
        <v>58</v>
      </c>
      <c r="C7" s="9">
        <v>28</v>
      </c>
      <c r="D7" s="9">
        <v>3</v>
      </c>
      <c r="E7" s="3">
        <v>-27.5</v>
      </c>
      <c r="F7" s="2">
        <v>-111</v>
      </c>
      <c r="G7" s="4">
        <f t="shared" si="1"/>
        <v>-29.071428571428573</v>
      </c>
      <c r="H7" s="4">
        <f>(C7-D7) + E7</f>
        <v>-2.5</v>
      </c>
      <c r="I7" s="3">
        <v>43.5</v>
      </c>
      <c r="J7" s="4">
        <f>I7/2 - E7/2</f>
        <v>35.5</v>
      </c>
      <c r="K7" s="4">
        <f>C7-J7</f>
        <v>-7.5</v>
      </c>
      <c r="L7" s="4">
        <f>I7/2 + E7/2</f>
        <v>8</v>
      </c>
      <c r="M7" s="4">
        <f>D7-L7</f>
        <v>-5</v>
      </c>
      <c r="N7" s="4">
        <f t="shared" si="2"/>
        <v>-4.071428571428573</v>
      </c>
      <c r="O7" s="4">
        <f t="shared" si="3"/>
        <v>36.285714285714285</v>
      </c>
      <c r="P7" s="4">
        <f t="shared" si="4"/>
        <v>-8.2857142857142847</v>
      </c>
      <c r="Q7" s="4">
        <f t="shared" si="5"/>
        <v>7.2142857142857135</v>
      </c>
      <c r="R7" s="4">
        <f t="shared" si="6"/>
        <v>-4.2142857142857135</v>
      </c>
      <c r="S7" s="2">
        <v>-5043</v>
      </c>
      <c r="T7" s="11">
        <f t="shared" si="0"/>
        <v>0.98055609566400936</v>
      </c>
    </row>
    <row r="8" spans="1:20" x14ac:dyDescent="0.2">
      <c r="A8" s="2">
        <v>5</v>
      </c>
      <c r="B8" s="2" t="s">
        <v>59</v>
      </c>
      <c r="C8" s="9">
        <v>31</v>
      </c>
      <c r="D8" s="9">
        <v>24</v>
      </c>
      <c r="E8" s="10">
        <v>-6.5</v>
      </c>
      <c r="F8" s="2">
        <v>-112</v>
      </c>
      <c r="G8" s="4">
        <f t="shared" si="1"/>
        <v>-6.9333333333333336</v>
      </c>
      <c r="H8" s="4">
        <f>(C8-D8) + E8</f>
        <v>0.5</v>
      </c>
      <c r="I8" s="3">
        <v>45</v>
      </c>
      <c r="J8" s="4">
        <f>I8/2 - E8/2</f>
        <v>25.75</v>
      </c>
      <c r="K8" s="4">
        <f>C8-J8</f>
        <v>5.25</v>
      </c>
      <c r="L8" s="4">
        <f>I8/2 + E8/2</f>
        <v>19.25</v>
      </c>
      <c r="M8" s="4">
        <f>D8-L8</f>
        <v>4.75</v>
      </c>
      <c r="N8" s="4">
        <f t="shared" si="2"/>
        <v>6.666666666666643E-2</v>
      </c>
      <c r="O8" s="4">
        <f t="shared" si="3"/>
        <v>25.966666666666669</v>
      </c>
      <c r="P8" s="4">
        <f t="shared" si="4"/>
        <v>5.0333333333333314</v>
      </c>
      <c r="Q8" s="4">
        <f t="shared" si="5"/>
        <v>19.033333333333331</v>
      </c>
      <c r="R8" s="4">
        <f t="shared" si="6"/>
        <v>4.9666666666666686</v>
      </c>
      <c r="S8" s="2">
        <v>-251</v>
      </c>
      <c r="T8" s="11">
        <f t="shared" si="0"/>
        <v>0.71509971509971515</v>
      </c>
    </row>
    <row r="9" spans="1:20" x14ac:dyDescent="0.2">
      <c r="A9" s="2">
        <v>6</v>
      </c>
      <c r="B9" s="2" t="s">
        <v>60</v>
      </c>
      <c r="C9" s="9">
        <v>49</v>
      </c>
      <c r="D9" s="9">
        <v>7</v>
      </c>
      <c r="E9" s="10">
        <v>-22.5</v>
      </c>
      <c r="F9" s="2">
        <v>-112</v>
      </c>
      <c r="G9" s="4">
        <f t="shared" si="1"/>
        <v>-24</v>
      </c>
      <c r="H9" s="4">
        <f>(C9-D9) + E9</f>
        <v>19.5</v>
      </c>
      <c r="I9" s="3">
        <v>45</v>
      </c>
      <c r="J9" s="4">
        <f>I9/2 - E9/2</f>
        <v>33.75</v>
      </c>
      <c r="K9" s="4">
        <f>C9-J9</f>
        <v>15.25</v>
      </c>
      <c r="L9" s="4">
        <f>I9/2 + E9/2</f>
        <v>11.25</v>
      </c>
      <c r="M9" s="4">
        <f>D9-L9</f>
        <v>-4.25</v>
      </c>
      <c r="N9" s="4">
        <f t="shared" si="2"/>
        <v>18</v>
      </c>
      <c r="O9" s="4">
        <f t="shared" si="3"/>
        <v>34.5</v>
      </c>
      <c r="P9" s="4">
        <f t="shared" si="4"/>
        <v>14.5</v>
      </c>
      <c r="Q9" s="4">
        <f t="shared" si="5"/>
        <v>10.5</v>
      </c>
      <c r="R9" s="4">
        <f t="shared" si="6"/>
        <v>-3.5</v>
      </c>
      <c r="S9" s="2">
        <v>-2596</v>
      </c>
      <c r="T9" s="11">
        <f t="shared" si="0"/>
        <v>0.9629080118694362</v>
      </c>
    </row>
    <row r="10" spans="1:20" x14ac:dyDescent="0.2">
      <c r="A10" s="2">
        <v>7</v>
      </c>
      <c r="B10" s="2" t="s">
        <v>51</v>
      </c>
      <c r="C10" s="9">
        <v>31</v>
      </c>
      <c r="D10" s="9">
        <v>13</v>
      </c>
      <c r="E10" s="10">
        <v>-14</v>
      </c>
      <c r="F10" s="2">
        <v>-112</v>
      </c>
      <c r="G10" s="4">
        <f t="shared" si="1"/>
        <v>-14.933333333333334</v>
      </c>
      <c r="H10" s="4">
        <f>(C10-D10) + E10</f>
        <v>4</v>
      </c>
      <c r="I10" s="3">
        <v>49.5</v>
      </c>
      <c r="J10" s="4">
        <f>I10/2 - E10/2</f>
        <v>31.75</v>
      </c>
      <c r="K10" s="4">
        <f>C10-J10</f>
        <v>-0.75</v>
      </c>
      <c r="L10" s="4">
        <f>I10/2 + E10/2</f>
        <v>17.75</v>
      </c>
      <c r="M10" s="4">
        <f>D10-L10</f>
        <v>-4.75</v>
      </c>
      <c r="N10" s="4">
        <f t="shared" si="2"/>
        <v>3.0666666666666664</v>
      </c>
      <c r="O10" s="4">
        <f t="shared" si="3"/>
        <v>32.216666666666669</v>
      </c>
      <c r="P10" s="4">
        <f t="shared" si="4"/>
        <v>-1.2166666666666686</v>
      </c>
      <c r="Q10" s="4">
        <f t="shared" si="5"/>
        <v>17.283333333333331</v>
      </c>
      <c r="R10" s="4">
        <f t="shared" si="6"/>
        <v>-4.2833333333333314</v>
      </c>
      <c r="S10" s="2">
        <v>-613</v>
      </c>
      <c r="T10" s="11">
        <f t="shared" si="0"/>
        <v>0.85974754558204769</v>
      </c>
    </row>
    <row r="11" spans="1:20" x14ac:dyDescent="0.2">
      <c r="A11" s="2">
        <v>8</v>
      </c>
      <c r="B11" s="2" t="s">
        <v>61</v>
      </c>
      <c r="C11" s="9">
        <v>51</v>
      </c>
      <c r="D11" s="9">
        <v>14</v>
      </c>
      <c r="E11" s="10">
        <v>-13.5</v>
      </c>
      <c r="F11" s="2">
        <v>-116</v>
      </c>
      <c r="G11" s="4">
        <f t="shared" si="1"/>
        <v>-14.914285714285715</v>
      </c>
      <c r="H11" s="4">
        <f>(C11-D11) + E11</f>
        <v>23.5</v>
      </c>
      <c r="I11" s="3">
        <v>50.5</v>
      </c>
      <c r="J11" s="4">
        <f>I11/2 - E11/2</f>
        <v>32</v>
      </c>
      <c r="K11" s="4">
        <f>C11-J11</f>
        <v>19</v>
      </c>
      <c r="L11" s="4">
        <f>I11/2 + E11/2</f>
        <v>18.5</v>
      </c>
      <c r="M11" s="4">
        <f>D11-L11</f>
        <v>-4.5</v>
      </c>
      <c r="N11" s="4">
        <f t="shared" si="2"/>
        <v>22.085714285714285</v>
      </c>
      <c r="O11" s="4">
        <f t="shared" si="3"/>
        <v>32.707142857142856</v>
      </c>
      <c r="P11" s="4">
        <f t="shared" si="4"/>
        <v>18.292857142857144</v>
      </c>
      <c r="Q11" s="4">
        <f t="shared" si="5"/>
        <v>17.792857142857144</v>
      </c>
      <c r="R11" s="4">
        <f t="shared" si="6"/>
        <v>-3.7928571428571445</v>
      </c>
      <c r="S11" s="2">
        <v>-571</v>
      </c>
      <c r="T11" s="11">
        <f t="shared" si="0"/>
        <v>0.8509687034277198</v>
      </c>
    </row>
    <row r="12" spans="1:20" x14ac:dyDescent="0.2">
      <c r="A12" s="2">
        <v>9</v>
      </c>
      <c r="B12" s="2" t="s">
        <v>62</v>
      </c>
      <c r="C12" s="9">
        <v>52</v>
      </c>
      <c r="D12" s="9">
        <v>3</v>
      </c>
      <c r="E12" s="10">
        <v>-25.5</v>
      </c>
      <c r="F12" s="2">
        <v>-110</v>
      </c>
      <c r="G12" s="4">
        <f t="shared" si="1"/>
        <v>-26.714285714285715</v>
      </c>
      <c r="H12" s="4">
        <f>(C12-D12) + E12</f>
        <v>23.5</v>
      </c>
      <c r="I12" s="3">
        <v>43.5</v>
      </c>
      <c r="J12" s="4">
        <f>I12/2 - E12/2</f>
        <v>34.5</v>
      </c>
      <c r="K12" s="4">
        <f>C12-J12</f>
        <v>17.5</v>
      </c>
      <c r="L12" s="4">
        <f>I12/2 + E12/2</f>
        <v>9</v>
      </c>
      <c r="M12" s="4">
        <f>D12-L12</f>
        <v>-6</v>
      </c>
      <c r="N12" s="4">
        <f t="shared" si="2"/>
        <v>22.285714285714285</v>
      </c>
      <c r="O12" s="4">
        <f t="shared" si="3"/>
        <v>35.107142857142861</v>
      </c>
      <c r="P12" s="4">
        <f t="shared" si="4"/>
        <v>16.892857142857139</v>
      </c>
      <c r="Q12" s="4">
        <f t="shared" si="5"/>
        <v>8.3928571428571423</v>
      </c>
      <c r="R12" s="4">
        <f t="shared" si="6"/>
        <v>-5.3928571428571423</v>
      </c>
      <c r="S12" s="2">
        <v>-4375</v>
      </c>
      <c r="T12" s="11">
        <f t="shared" si="0"/>
        <v>0.97765363128491622</v>
      </c>
    </row>
    <row r="13" spans="1:20" x14ac:dyDescent="0.2">
      <c r="A13" s="2">
        <v>10</v>
      </c>
      <c r="B13" s="2" t="s">
        <v>63</v>
      </c>
      <c r="C13" s="9">
        <v>35</v>
      </c>
      <c r="D13" s="9">
        <v>14</v>
      </c>
      <c r="E13" s="10">
        <v>-20.5</v>
      </c>
      <c r="F13" s="2">
        <v>-113</v>
      </c>
      <c r="G13" s="4">
        <f t="shared" si="1"/>
        <v>-22.06190476190476</v>
      </c>
      <c r="H13" s="4">
        <f>(C13-D13) + E13</f>
        <v>0.5</v>
      </c>
      <c r="I13" s="3">
        <v>51</v>
      </c>
      <c r="J13" s="4">
        <f>I13/2 - E13/2</f>
        <v>35.75</v>
      </c>
      <c r="K13" s="4">
        <f>C13-J13</f>
        <v>-0.75</v>
      </c>
      <c r="L13" s="4">
        <f>I13/2 + E13/2</f>
        <v>15.25</v>
      </c>
      <c r="M13" s="4">
        <f>D13-L13</f>
        <v>-1.25</v>
      </c>
      <c r="N13" s="4">
        <f t="shared" si="2"/>
        <v>-1.0619047619047599</v>
      </c>
      <c r="O13" s="4">
        <f t="shared" si="3"/>
        <v>36.530952380952378</v>
      </c>
      <c r="P13" s="4">
        <f t="shared" si="4"/>
        <v>-1.5309523809523782</v>
      </c>
      <c r="Q13" s="4">
        <f t="shared" si="5"/>
        <v>14.46904761904762</v>
      </c>
      <c r="R13" s="4">
        <f t="shared" si="6"/>
        <v>-0.46904761904762005</v>
      </c>
      <c r="S13" s="2">
        <v>-1746</v>
      </c>
      <c r="T13" s="11">
        <f t="shared" si="0"/>
        <v>0.94582881906825567</v>
      </c>
    </row>
    <row r="14" spans="1:20" x14ac:dyDescent="0.2">
      <c r="A14" s="2">
        <v>11</v>
      </c>
      <c r="B14" s="2" t="s">
        <v>64</v>
      </c>
      <c r="C14" s="9">
        <v>49</v>
      </c>
      <c r="D14" s="9">
        <v>14</v>
      </c>
      <c r="E14" s="10">
        <v>-14.5</v>
      </c>
      <c r="F14" s="2">
        <v>-109</v>
      </c>
      <c r="G14" s="4">
        <f t="shared" si="1"/>
        <v>-15.052380952380954</v>
      </c>
      <c r="H14" s="4">
        <f>(C14-D14) + E14</f>
        <v>20.5</v>
      </c>
      <c r="I14" s="3">
        <v>44.5</v>
      </c>
      <c r="J14" s="4">
        <f>I14/2 - E14/2</f>
        <v>29.5</v>
      </c>
      <c r="K14" s="4">
        <f>C14-J14</f>
        <v>19.5</v>
      </c>
      <c r="L14" s="4">
        <f>I14/2 + E14/2</f>
        <v>15</v>
      </c>
      <c r="M14" s="4">
        <f>D14-L14</f>
        <v>-1</v>
      </c>
      <c r="N14" s="4">
        <f t="shared" si="2"/>
        <v>19.947619047619046</v>
      </c>
      <c r="O14" s="4">
        <f t="shared" si="3"/>
        <v>29.776190476190479</v>
      </c>
      <c r="P14" s="4">
        <f t="shared" si="4"/>
        <v>19.223809523809521</v>
      </c>
      <c r="Q14" s="4">
        <f t="shared" si="5"/>
        <v>14.723809523809523</v>
      </c>
      <c r="R14" s="4">
        <f t="shared" si="6"/>
        <v>-0.72380952380952301</v>
      </c>
      <c r="S14" s="2">
        <v>-627</v>
      </c>
      <c r="T14" s="11">
        <f t="shared" si="0"/>
        <v>0.86244841815680884</v>
      </c>
    </row>
    <row r="15" spans="1:20" x14ac:dyDescent="0.2">
      <c r="A15" s="2">
        <v>12</v>
      </c>
      <c r="B15" s="2" t="s">
        <v>17</v>
      </c>
      <c r="C15" s="9">
        <v>49</v>
      </c>
      <c r="D15" s="9">
        <v>35</v>
      </c>
      <c r="E15" s="10">
        <v>-7</v>
      </c>
      <c r="F15" s="2">
        <v>-107</v>
      </c>
      <c r="G15" s="4">
        <f t="shared" si="1"/>
        <v>-7.1333333333333329</v>
      </c>
      <c r="H15" s="4">
        <f>(C15-D15) + E15</f>
        <v>7</v>
      </c>
      <c r="I15" s="3">
        <v>52.5</v>
      </c>
      <c r="J15" s="4">
        <f>I15/2 - E15/2</f>
        <v>29.75</v>
      </c>
      <c r="K15" s="4">
        <f>C15-J15</f>
        <v>19.25</v>
      </c>
      <c r="L15" s="4">
        <f>I15/2 + E15/2</f>
        <v>22.75</v>
      </c>
      <c r="M15" s="4">
        <f>D15-L15</f>
        <v>12.25</v>
      </c>
      <c r="N15" s="4">
        <f t="shared" si="2"/>
        <v>6.8666666666666671</v>
      </c>
      <c r="O15" s="4">
        <f t="shared" si="3"/>
        <v>29.816666666666666</v>
      </c>
      <c r="P15" s="4">
        <f t="shared" si="4"/>
        <v>19.183333333333334</v>
      </c>
      <c r="Q15" s="4">
        <f t="shared" si="5"/>
        <v>22.683333333333334</v>
      </c>
      <c r="R15" s="4">
        <f t="shared" si="6"/>
        <v>12.316666666666666</v>
      </c>
      <c r="S15" s="2">
        <v>-271</v>
      </c>
      <c r="T15" s="11">
        <f t="shared" si="0"/>
        <v>0.73045822102425872</v>
      </c>
    </row>
    <row r="17" spans="1:20" s="4" customFormat="1" x14ac:dyDescent="0.2">
      <c r="A17" s="5" t="s">
        <v>25</v>
      </c>
      <c r="C17" s="4">
        <f>SUM(C4:C15)</f>
        <v>478</v>
      </c>
      <c r="D17" s="4">
        <f>SUM(D4:D15)</f>
        <v>163</v>
      </c>
      <c r="E17" s="4">
        <f t="shared" ref="E17:F17" si="7">SUM(E4:E15)</f>
        <v>-183.5</v>
      </c>
      <c r="F17" s="4">
        <f t="shared" si="7"/>
        <v>-1340</v>
      </c>
      <c r="G17" s="4">
        <f>SUM(G4:G15)</f>
        <v>-194.3857142857143</v>
      </c>
      <c r="H17" s="4">
        <f>SUM(H4:H15)</f>
        <v>131.5</v>
      </c>
      <c r="I17" s="4">
        <f>SUM(I4:I15)</f>
        <v>566.5</v>
      </c>
      <c r="J17" s="4">
        <f>SUM(J4:J15)</f>
        <v>375</v>
      </c>
      <c r="K17" s="4">
        <f>SUM(K4:K15)</f>
        <v>103</v>
      </c>
      <c r="L17" s="4">
        <f>SUM(L4:L15)</f>
        <v>191.5</v>
      </c>
      <c r="M17" s="4">
        <f>SUM(M3:M15)</f>
        <v>-28.5</v>
      </c>
      <c r="N17" s="4">
        <f>SUM(N3:N15)</f>
        <v>120.6142857142857</v>
      </c>
      <c r="O17" s="4">
        <f>SUM(O3:O15)</f>
        <v>380.44285714285718</v>
      </c>
      <c r="P17" s="4">
        <f>SUM(P3:P15)</f>
        <v>97.55714285714285</v>
      </c>
      <c r="Q17" s="4">
        <f>SUM(Q3:Q15)</f>
        <v>186.05714285714288</v>
      </c>
      <c r="R17" s="4">
        <f>SUM(R3:R15)</f>
        <v>-23.057142857142853</v>
      </c>
    </row>
    <row r="18" spans="1:20" s="7" customFormat="1" x14ac:dyDescent="0.2">
      <c r="A18" s="6" t="s">
        <v>26</v>
      </c>
      <c r="C18" s="7">
        <f>AVERAGE(C4:C15)</f>
        <v>39.833333333333336</v>
      </c>
      <c r="D18" s="7">
        <f>AVERAGE(D4:D15)</f>
        <v>13.583333333333334</v>
      </c>
      <c r="E18" s="7">
        <f>AVERAGE(E4:E15)</f>
        <v>-15.291666666666666</v>
      </c>
      <c r="F18" s="7">
        <f>AVERAGE(F4:F15)</f>
        <v>-111.66666666666667</v>
      </c>
      <c r="G18" s="4">
        <f>AVERAGE(G4:G15)</f>
        <v>-16.198809523809526</v>
      </c>
      <c r="H18" s="7">
        <f>AVERAGE(H4:H15)</f>
        <v>10.958333333333334</v>
      </c>
      <c r="I18" s="7">
        <f>AVERAGE(I4:I15)</f>
        <v>47.208333333333336</v>
      </c>
      <c r="J18" s="7">
        <f>AVERAGE(J4:J15)</f>
        <v>31.25</v>
      </c>
      <c r="K18" s="7">
        <f>AVERAGE(K4:K15)</f>
        <v>8.5833333333333339</v>
      </c>
      <c r="L18" s="7">
        <f>AVERAGE(L4:L15)</f>
        <v>15.958333333333334</v>
      </c>
      <c r="M18" s="7">
        <f>AVERAGE(M4:M15)</f>
        <v>-2.375</v>
      </c>
      <c r="N18" s="7">
        <f>AVERAGE(N4:N15)</f>
        <v>10.051190476190476</v>
      </c>
      <c r="O18" s="7">
        <f>AVERAGE(O4:O15)</f>
        <v>31.703571428571433</v>
      </c>
      <c r="P18" s="7">
        <f>AVERAGE(P4:P15)</f>
        <v>8.1297619047619047</v>
      </c>
      <c r="Q18" s="7">
        <f>AVERAGE(Q4:Q15)</f>
        <v>15.504761904761907</v>
      </c>
      <c r="R18" s="7">
        <f>AVERAGE(R4:R15)</f>
        <v>-1.921428571428571</v>
      </c>
      <c r="S18" s="7">
        <f>AVERAGE(S4:S15)</f>
        <v>-1874</v>
      </c>
      <c r="T18" s="8">
        <f>AVERAGE(T4:T16)</f>
        <v>0.83686256407512127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42C8-B8D9-3544-982D-C61B97426145}">
  <sheetPr>
    <tabColor theme="5"/>
  </sheetPr>
  <dimension ref="A1:T46"/>
  <sheetViews>
    <sheetView zoomScale="57" zoomScaleNormal="100" workbookViewId="0">
      <selection activeCell="N63" sqref="N63"/>
    </sheetView>
  </sheetViews>
  <sheetFormatPr baseColWidth="10" defaultColWidth="18" defaultRowHeight="15" x14ac:dyDescent="0.2"/>
  <cols>
    <col min="1" max="1" width="19" style="2" bestFit="1" customWidth="1"/>
    <col min="2" max="2" width="23.33203125" style="2" bestFit="1" customWidth="1"/>
    <col min="3" max="3" width="12.6640625" style="2" bestFit="1" customWidth="1"/>
    <col min="4" max="4" width="13.832031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18" style="2"/>
  </cols>
  <sheetData>
    <row r="1" spans="1:20" x14ac:dyDescent="0.2">
      <c r="A1" s="1" t="s">
        <v>66</v>
      </c>
      <c r="B1" s="1" t="s">
        <v>67</v>
      </c>
      <c r="C1" s="1" t="s">
        <v>2</v>
      </c>
      <c r="D1" s="1" t="s">
        <v>53</v>
      </c>
      <c r="E1" s="1"/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68</v>
      </c>
      <c r="C4" s="9">
        <v>52</v>
      </c>
      <c r="D4" s="9">
        <v>0</v>
      </c>
      <c r="E4" s="3">
        <v>-35</v>
      </c>
      <c r="F4" s="2">
        <v>-113</v>
      </c>
      <c r="G4" s="4">
        <f>E4*(F4/-105)</f>
        <v>-37.666666666666664</v>
      </c>
      <c r="H4" s="4">
        <f>(C4-D4) + E4</f>
        <v>17</v>
      </c>
      <c r="I4" s="3">
        <v>62.5</v>
      </c>
      <c r="J4" s="4">
        <f>I4/2 - E4/2</f>
        <v>48.75</v>
      </c>
      <c r="K4" s="4">
        <f>C4-J4</f>
        <v>3.25</v>
      </c>
      <c r="L4" s="4">
        <f>I4/2 + E4/2</f>
        <v>13.75</v>
      </c>
      <c r="M4" s="4">
        <f>D4-L4</f>
        <v>-13.75</v>
      </c>
      <c r="N4" s="4">
        <f>(C4-D4) + G4</f>
        <v>14.333333333333336</v>
      </c>
      <c r="O4" s="4">
        <f>I4/2 - G4/2</f>
        <v>50.083333333333329</v>
      </c>
      <c r="P4" s="4">
        <f>C4-O4</f>
        <v>1.9166666666666714</v>
      </c>
      <c r="Q4" s="4">
        <f>I4/2 + G4/2</f>
        <v>12.416666666666668</v>
      </c>
      <c r="R4" s="4">
        <f>D4-Q4</f>
        <v>-12.416666666666668</v>
      </c>
      <c r="S4" s="2">
        <v>-20000</v>
      </c>
      <c r="T4" s="11">
        <f t="shared" ref="T4:T16" si="0">IF(S4&gt;0,100/(100+S4),ABS(S4)/(100+ABS(S4)))</f>
        <v>0.99502487562189057</v>
      </c>
    </row>
    <row r="5" spans="1:20" x14ac:dyDescent="0.2">
      <c r="A5" s="2">
        <v>2</v>
      </c>
      <c r="B5" s="2" t="s">
        <v>36</v>
      </c>
      <c r="C5" s="9">
        <v>31</v>
      </c>
      <c r="D5" s="9">
        <v>12</v>
      </c>
      <c r="E5" s="10">
        <v>-6.5</v>
      </c>
      <c r="F5" s="2">
        <v>-113</v>
      </c>
      <c r="G5" s="4">
        <f t="shared" ref="G5:G16" si="1">E5*(F5/-105)</f>
        <v>-6.9952380952380953</v>
      </c>
      <c r="H5" s="4">
        <f>(C5-D5) + E5</f>
        <v>12.5</v>
      </c>
      <c r="I5" s="3">
        <v>42</v>
      </c>
      <c r="J5" s="4">
        <f>I5/2 - E5/2</f>
        <v>24.25</v>
      </c>
      <c r="K5" s="4">
        <f>C5-J5</f>
        <v>6.75</v>
      </c>
      <c r="L5" s="4">
        <f>I5/2 + E5/2</f>
        <v>17.75</v>
      </c>
      <c r="M5" s="4">
        <f>D5-L5</f>
        <v>-5.75</v>
      </c>
      <c r="N5" s="4">
        <f t="shared" ref="N5:N16" si="2">(C5-D5) + G5</f>
        <v>12.004761904761905</v>
      </c>
      <c r="O5" s="4">
        <f t="shared" ref="O5:O16" si="3">I5/2 - G5/2</f>
        <v>24.497619047619047</v>
      </c>
      <c r="P5" s="4">
        <f t="shared" ref="P5:P16" si="4">C5-O5</f>
        <v>6.5023809523809533</v>
      </c>
      <c r="Q5" s="4">
        <f t="shared" ref="Q5:Q16" si="5">I5/2 + G5/2</f>
        <v>17.502380952380953</v>
      </c>
      <c r="R5" s="4">
        <f t="shared" ref="R5:R16" si="6">D5-Q5</f>
        <v>-5.5023809523809533</v>
      </c>
      <c r="S5" s="2">
        <v>-251</v>
      </c>
      <c r="T5" s="11">
        <f t="shared" si="0"/>
        <v>0.71509971509971515</v>
      </c>
    </row>
    <row r="6" spans="1:20" x14ac:dyDescent="0.2">
      <c r="A6" s="2">
        <v>3</v>
      </c>
      <c r="B6" s="2" t="s">
        <v>69</v>
      </c>
      <c r="C6" s="9">
        <v>56</v>
      </c>
      <c r="D6" s="9">
        <v>7</v>
      </c>
      <c r="E6" s="10">
        <v>-35.5</v>
      </c>
      <c r="F6" s="2">
        <v>-112</v>
      </c>
      <c r="G6" s="4">
        <f t="shared" si="1"/>
        <v>-37.866666666666667</v>
      </c>
      <c r="H6" s="4">
        <f>(C6-D6) + E6</f>
        <v>13.5</v>
      </c>
      <c r="I6" s="3">
        <v>55.5</v>
      </c>
      <c r="J6" s="4">
        <f>I6/2 - E6/2</f>
        <v>45.5</v>
      </c>
      <c r="K6" s="4">
        <f>C6-J6</f>
        <v>10.5</v>
      </c>
      <c r="L6" s="4">
        <f>I6/2 + E6/2</f>
        <v>10</v>
      </c>
      <c r="M6" s="4">
        <f>D6-L6</f>
        <v>-3</v>
      </c>
      <c r="N6" s="4">
        <f t="shared" si="2"/>
        <v>11.133333333333333</v>
      </c>
      <c r="O6" s="4">
        <f t="shared" si="3"/>
        <v>46.683333333333337</v>
      </c>
      <c r="P6" s="4">
        <f t="shared" si="4"/>
        <v>9.3166666666666629</v>
      </c>
      <c r="Q6" s="4">
        <f t="shared" si="5"/>
        <v>8.8166666666666664</v>
      </c>
      <c r="R6" s="4">
        <f t="shared" si="6"/>
        <v>-1.8166666666666664</v>
      </c>
      <c r="S6" s="2">
        <v>-20000</v>
      </c>
      <c r="T6" s="11">
        <f t="shared" si="0"/>
        <v>0.99502487562189057</v>
      </c>
    </row>
    <row r="7" spans="1:20" x14ac:dyDescent="0.2">
      <c r="A7" s="2">
        <v>4</v>
      </c>
      <c r="B7" s="2" t="s">
        <v>70</v>
      </c>
      <c r="C7" s="9">
        <v>51</v>
      </c>
      <c r="D7" s="9">
        <v>3</v>
      </c>
      <c r="E7" s="10">
        <v>-43</v>
      </c>
      <c r="F7" s="2">
        <v>-110</v>
      </c>
      <c r="G7" s="4">
        <f t="shared" si="1"/>
        <v>-45.047619047619051</v>
      </c>
      <c r="H7" s="4">
        <f>(C7-D7) + E7</f>
        <v>5</v>
      </c>
      <c r="I7" s="3">
        <v>53.5</v>
      </c>
      <c r="J7" s="4">
        <f>I7/2 - E7/2</f>
        <v>48.25</v>
      </c>
      <c r="K7" s="4">
        <f>C7-J7</f>
        <v>2.75</v>
      </c>
      <c r="L7" s="4">
        <f>I7/2 + E7/2</f>
        <v>5.25</v>
      </c>
      <c r="M7" s="4">
        <f>D7-L7</f>
        <v>-2.25</v>
      </c>
      <c r="N7" s="4">
        <f t="shared" si="2"/>
        <v>2.952380952380949</v>
      </c>
      <c r="O7" s="4">
        <f t="shared" si="3"/>
        <v>49.273809523809526</v>
      </c>
      <c r="P7" s="4">
        <f t="shared" si="4"/>
        <v>1.7261904761904745</v>
      </c>
      <c r="Q7" s="4">
        <f t="shared" si="5"/>
        <v>4.2261904761904745</v>
      </c>
      <c r="R7" s="4">
        <f t="shared" si="6"/>
        <v>-1.2261904761904745</v>
      </c>
      <c r="S7" s="2">
        <v>-20000</v>
      </c>
      <c r="T7" s="11">
        <f t="shared" si="0"/>
        <v>0.99502487562189057</v>
      </c>
    </row>
    <row r="8" spans="1:20" x14ac:dyDescent="0.2">
      <c r="A8" s="2">
        <v>5</v>
      </c>
      <c r="B8" s="2" t="s">
        <v>45</v>
      </c>
      <c r="C8" s="9">
        <v>35</v>
      </c>
      <c r="D8" s="9">
        <v>13</v>
      </c>
      <c r="E8" s="3">
        <v>-37.5</v>
      </c>
      <c r="F8" s="2">
        <v>-113</v>
      </c>
      <c r="G8" s="4">
        <f t="shared" si="1"/>
        <v>-40.357142857142854</v>
      </c>
      <c r="H8" s="4">
        <f>(C8-D8) + E8</f>
        <v>-15.5</v>
      </c>
      <c r="I8" s="3">
        <v>58.5</v>
      </c>
      <c r="J8" s="4">
        <f>I8/2 - E8/2</f>
        <v>48</v>
      </c>
      <c r="K8" s="4">
        <f>C8-J8</f>
        <v>-13</v>
      </c>
      <c r="L8" s="4">
        <f>I8/2 + E8/2</f>
        <v>10.5</v>
      </c>
      <c r="M8" s="4">
        <f>D8-L8</f>
        <v>2.5</v>
      </c>
      <c r="N8" s="4">
        <f t="shared" si="2"/>
        <v>-18.357142857142854</v>
      </c>
      <c r="O8" s="4">
        <f t="shared" si="3"/>
        <v>49.428571428571431</v>
      </c>
      <c r="P8" s="4">
        <f t="shared" si="4"/>
        <v>-14.428571428571431</v>
      </c>
      <c r="Q8" s="4">
        <f t="shared" si="5"/>
        <v>9.071428571428573</v>
      </c>
      <c r="R8" s="4">
        <f t="shared" si="6"/>
        <v>3.928571428571427</v>
      </c>
      <c r="S8" s="2">
        <v>-17000</v>
      </c>
      <c r="T8" s="11">
        <f t="shared" si="0"/>
        <v>0.99415204678362568</v>
      </c>
    </row>
    <row r="9" spans="1:20" x14ac:dyDescent="0.2">
      <c r="A9" s="2">
        <v>6</v>
      </c>
      <c r="B9" s="2" t="s">
        <v>71</v>
      </c>
      <c r="C9" s="9">
        <v>34</v>
      </c>
      <c r="D9" s="9">
        <v>3</v>
      </c>
      <c r="E9" s="10">
        <v>-17</v>
      </c>
      <c r="F9" s="2">
        <v>-109</v>
      </c>
      <c r="G9" s="4">
        <f t="shared" si="1"/>
        <v>-17.647619047619049</v>
      </c>
      <c r="H9" s="4">
        <f>(C9-D9) + E9</f>
        <v>14</v>
      </c>
      <c r="I9" s="3">
        <v>49</v>
      </c>
      <c r="J9" s="4">
        <f>I9/2 - E9/2</f>
        <v>33</v>
      </c>
      <c r="K9" s="4">
        <f>C9-J9</f>
        <v>1</v>
      </c>
      <c r="L9" s="4">
        <f>I9/2 + E9/2</f>
        <v>16</v>
      </c>
      <c r="M9" s="4">
        <f>D9-L9</f>
        <v>-13</v>
      </c>
      <c r="N9" s="4">
        <f t="shared" si="2"/>
        <v>13.352380952380951</v>
      </c>
      <c r="O9" s="4">
        <f t="shared" si="3"/>
        <v>33.323809523809523</v>
      </c>
      <c r="P9" s="4">
        <f t="shared" si="4"/>
        <v>0.67619047619047734</v>
      </c>
      <c r="Q9" s="4">
        <f t="shared" si="5"/>
        <v>15.676190476190476</v>
      </c>
      <c r="R9" s="4">
        <f t="shared" si="6"/>
        <v>-12.676190476190476</v>
      </c>
      <c r="S9" s="2">
        <v>-871</v>
      </c>
      <c r="T9" s="11">
        <f t="shared" si="0"/>
        <v>0.89701338825952626</v>
      </c>
    </row>
    <row r="10" spans="1:20" x14ac:dyDescent="0.2">
      <c r="A10" s="2">
        <v>7</v>
      </c>
      <c r="B10" s="2" t="s">
        <v>72</v>
      </c>
      <c r="C10" s="2">
        <v>15</v>
      </c>
      <c r="D10" s="2">
        <v>20</v>
      </c>
      <c r="E10" s="3">
        <v>-23.5</v>
      </c>
      <c r="F10" s="2">
        <v>-108</v>
      </c>
      <c r="G10" s="4">
        <f t="shared" si="1"/>
        <v>-24.171428571428571</v>
      </c>
      <c r="H10" s="4">
        <f>(C10-D10) + E10</f>
        <v>-28.5</v>
      </c>
      <c r="I10" s="3">
        <v>57</v>
      </c>
      <c r="J10" s="4">
        <f>I10/2 - E10/2</f>
        <v>40.25</v>
      </c>
      <c r="K10" s="4">
        <f>C10-J10</f>
        <v>-25.25</v>
      </c>
      <c r="L10" s="4">
        <f>I10/2 + E10/2</f>
        <v>16.75</v>
      </c>
      <c r="M10" s="4">
        <f>D10-L10</f>
        <v>3.25</v>
      </c>
      <c r="N10" s="4">
        <f t="shared" si="2"/>
        <v>-29.171428571428571</v>
      </c>
      <c r="O10" s="4">
        <f t="shared" si="3"/>
        <v>40.585714285714289</v>
      </c>
      <c r="P10" s="4">
        <f t="shared" si="4"/>
        <v>-25.585714285714289</v>
      </c>
      <c r="Q10" s="4">
        <f t="shared" si="5"/>
        <v>16.414285714285715</v>
      </c>
      <c r="R10" s="4">
        <f t="shared" si="6"/>
        <v>3.5857142857142854</v>
      </c>
      <c r="S10" s="2">
        <v>-193</v>
      </c>
      <c r="T10" s="11">
        <f t="shared" si="0"/>
        <v>0.65870307167235498</v>
      </c>
    </row>
    <row r="11" spans="1:20" x14ac:dyDescent="0.2">
      <c r="A11" s="2">
        <v>8</v>
      </c>
      <c r="B11" s="2" t="s">
        <v>73</v>
      </c>
      <c r="C11" s="9">
        <v>27</v>
      </c>
      <c r="D11" s="9">
        <v>24</v>
      </c>
      <c r="E11" s="3">
        <v>-17</v>
      </c>
      <c r="F11" s="2">
        <v>-111</v>
      </c>
      <c r="G11" s="4">
        <f t="shared" si="1"/>
        <v>-17.971428571428572</v>
      </c>
      <c r="H11" s="4">
        <f>(C11-D11) + E11</f>
        <v>-14</v>
      </c>
      <c r="I11" s="3">
        <v>51</v>
      </c>
      <c r="J11" s="4">
        <f>I11/2 - E11/2</f>
        <v>34</v>
      </c>
      <c r="K11" s="4">
        <f>C11-J11</f>
        <v>-7</v>
      </c>
      <c r="L11" s="4">
        <f>I11/2 + E11/2</f>
        <v>17</v>
      </c>
      <c r="M11" s="4">
        <f>D11-L11</f>
        <v>7</v>
      </c>
      <c r="N11" s="4">
        <f t="shared" si="2"/>
        <v>-14.971428571428572</v>
      </c>
      <c r="O11" s="4">
        <f t="shared" si="3"/>
        <v>34.485714285714288</v>
      </c>
      <c r="P11" s="4">
        <f t="shared" si="4"/>
        <v>-7.4857142857142875</v>
      </c>
      <c r="Q11" s="4">
        <f t="shared" si="5"/>
        <v>16.514285714285712</v>
      </c>
      <c r="R11" s="4">
        <f t="shared" si="6"/>
        <v>7.4857142857142875</v>
      </c>
      <c r="S11" s="2">
        <v>-833</v>
      </c>
      <c r="T11" s="11">
        <f t="shared" si="0"/>
        <v>0.89281886387995713</v>
      </c>
    </row>
    <row r="12" spans="1:20" x14ac:dyDescent="0.2">
      <c r="A12" s="2">
        <v>9</v>
      </c>
      <c r="B12" s="2" t="s">
        <v>47</v>
      </c>
      <c r="C12" s="9">
        <v>49</v>
      </c>
      <c r="D12" s="9">
        <v>17</v>
      </c>
      <c r="E12" s="10">
        <v>-23.5</v>
      </c>
      <c r="F12" s="2">
        <v>-108</v>
      </c>
      <c r="G12" s="4">
        <f t="shared" si="1"/>
        <v>-24.171428571428571</v>
      </c>
      <c r="H12" s="4">
        <f>(C12-D12) + E12</f>
        <v>8.5</v>
      </c>
      <c r="I12" s="3">
        <v>48.5</v>
      </c>
      <c r="J12" s="4">
        <f>I12/2 - E12/2</f>
        <v>36</v>
      </c>
      <c r="K12" s="4">
        <f>C12-J12</f>
        <v>13</v>
      </c>
      <c r="L12" s="4">
        <f>I12/2 + E12/2</f>
        <v>12.5</v>
      </c>
      <c r="M12" s="4">
        <f>D12-L12</f>
        <v>4.5</v>
      </c>
      <c r="N12" s="4">
        <f t="shared" si="2"/>
        <v>7.8285714285714292</v>
      </c>
      <c r="O12" s="4">
        <f t="shared" si="3"/>
        <v>36.335714285714289</v>
      </c>
      <c r="P12" s="4">
        <f t="shared" si="4"/>
        <v>12.664285714285711</v>
      </c>
      <c r="Q12" s="4">
        <f t="shared" si="5"/>
        <v>12.164285714285715</v>
      </c>
      <c r="R12" s="4">
        <f t="shared" si="6"/>
        <v>4.8357142857142854</v>
      </c>
      <c r="S12" s="2">
        <v>-3225</v>
      </c>
      <c r="T12" s="11">
        <f t="shared" si="0"/>
        <v>0.96992481203007519</v>
      </c>
    </row>
    <row r="13" spans="1:20" x14ac:dyDescent="0.2">
      <c r="A13" s="2">
        <v>10</v>
      </c>
      <c r="B13" s="2" t="s">
        <v>74</v>
      </c>
      <c r="C13" s="9">
        <v>20</v>
      </c>
      <c r="D13" s="9">
        <v>10</v>
      </c>
      <c r="E13" s="3">
        <v>-13.5</v>
      </c>
      <c r="F13" s="2">
        <v>-110</v>
      </c>
      <c r="G13" s="4">
        <f t="shared" si="1"/>
        <v>-14.142857142857144</v>
      </c>
      <c r="H13" s="4">
        <f>(C13-D13) + E13</f>
        <v>-3.5</v>
      </c>
      <c r="I13" s="3">
        <v>56.5</v>
      </c>
      <c r="J13" s="4">
        <f>I13/2 - E13/2</f>
        <v>35</v>
      </c>
      <c r="K13" s="4">
        <f>C13-J13</f>
        <v>-15</v>
      </c>
      <c r="L13" s="4">
        <f>I13/2 + E13/2</f>
        <v>21.5</v>
      </c>
      <c r="M13" s="4">
        <f>D13-L13</f>
        <v>-11.5</v>
      </c>
      <c r="N13" s="4">
        <f t="shared" si="2"/>
        <v>-4.1428571428571441</v>
      </c>
      <c r="O13" s="4">
        <f t="shared" si="3"/>
        <v>35.321428571428569</v>
      </c>
      <c r="P13" s="4">
        <f t="shared" si="4"/>
        <v>-15.321428571428569</v>
      </c>
      <c r="Q13" s="4">
        <f t="shared" si="5"/>
        <v>21.178571428571427</v>
      </c>
      <c r="R13" s="4">
        <f t="shared" si="6"/>
        <v>-11.178571428571427</v>
      </c>
      <c r="S13" s="2">
        <v>-635</v>
      </c>
      <c r="T13" s="11">
        <f t="shared" si="0"/>
        <v>0.86394557823129248</v>
      </c>
    </row>
    <row r="14" spans="1:20" x14ac:dyDescent="0.2">
      <c r="A14" s="2">
        <v>11</v>
      </c>
      <c r="B14" s="2" t="s">
        <v>42</v>
      </c>
      <c r="C14" s="9">
        <v>31</v>
      </c>
      <c r="D14" s="9">
        <v>14</v>
      </c>
      <c r="E14" s="3">
        <v>-18.5</v>
      </c>
      <c r="F14" s="2">
        <v>-110</v>
      </c>
      <c r="G14" s="4">
        <f t="shared" si="1"/>
        <v>-19.380952380952383</v>
      </c>
      <c r="H14" s="4">
        <f>(C14-D14) + E14</f>
        <v>-1.5</v>
      </c>
      <c r="I14" s="3">
        <v>47</v>
      </c>
      <c r="J14" s="4">
        <f>I14/2 - E14/2</f>
        <v>32.75</v>
      </c>
      <c r="K14" s="4">
        <f>C14-J14</f>
        <v>-1.75</v>
      </c>
      <c r="L14" s="4">
        <f>I14/2 + E14/2</f>
        <v>14.25</v>
      </c>
      <c r="M14" s="4">
        <f>D14-L14</f>
        <v>-0.25</v>
      </c>
      <c r="N14" s="4">
        <f t="shared" si="2"/>
        <v>-2.3809523809523832</v>
      </c>
      <c r="O14" s="4">
        <f t="shared" si="3"/>
        <v>33.19047619047619</v>
      </c>
      <c r="P14" s="4">
        <f t="shared" si="4"/>
        <v>-2.1904761904761898</v>
      </c>
      <c r="Q14" s="4">
        <f t="shared" si="5"/>
        <v>13.809523809523808</v>
      </c>
      <c r="R14" s="4">
        <f t="shared" si="6"/>
        <v>0.19047619047619158</v>
      </c>
      <c r="S14" s="2">
        <v>-1386</v>
      </c>
      <c r="T14" s="11">
        <f t="shared" si="0"/>
        <v>0.93270524899057872</v>
      </c>
    </row>
    <row r="15" spans="1:20" x14ac:dyDescent="0.2">
      <c r="A15" s="2">
        <v>12</v>
      </c>
      <c r="B15" s="2" t="s">
        <v>56</v>
      </c>
      <c r="C15" s="9">
        <v>17</v>
      </c>
      <c r="D15" s="9">
        <v>7</v>
      </c>
      <c r="E15" s="10">
        <v>-4.5</v>
      </c>
      <c r="F15" s="2">
        <v>-109</v>
      </c>
      <c r="G15" s="4">
        <f t="shared" si="1"/>
        <v>-4.6714285714285717</v>
      </c>
      <c r="H15" s="4">
        <f>(C15-D15) + E15</f>
        <v>5.5</v>
      </c>
      <c r="I15" s="3">
        <v>50</v>
      </c>
      <c r="J15" s="4">
        <f>I15/2 - E15/2</f>
        <v>27.25</v>
      </c>
      <c r="K15" s="4">
        <f>C15-J15</f>
        <v>-10.25</v>
      </c>
      <c r="L15" s="4">
        <f>I15/2 + E15/2</f>
        <v>22.75</v>
      </c>
      <c r="M15" s="4">
        <f>D15-L15</f>
        <v>-15.75</v>
      </c>
      <c r="N15" s="4">
        <f t="shared" si="2"/>
        <v>5.3285714285714283</v>
      </c>
      <c r="O15" s="4">
        <f t="shared" si="3"/>
        <v>27.335714285714285</v>
      </c>
      <c r="P15" s="4">
        <f t="shared" si="4"/>
        <v>-10.335714285714285</v>
      </c>
      <c r="Q15" s="4">
        <f t="shared" si="5"/>
        <v>22.664285714285715</v>
      </c>
      <c r="R15" s="4">
        <f t="shared" si="6"/>
        <v>-15.664285714285715</v>
      </c>
      <c r="S15" s="2">
        <v>-190</v>
      </c>
      <c r="T15" s="11">
        <f t="shared" si="0"/>
        <v>0.65517241379310343</v>
      </c>
    </row>
    <row r="16" spans="1:20" x14ac:dyDescent="0.2">
      <c r="A16" s="2" t="s">
        <v>52</v>
      </c>
      <c r="B16" s="2" t="s">
        <v>72</v>
      </c>
      <c r="C16" s="2">
        <v>19</v>
      </c>
      <c r="D16" s="2">
        <v>22</v>
      </c>
      <c r="E16" s="3">
        <v>-3</v>
      </c>
      <c r="F16" s="2">
        <v>-109</v>
      </c>
      <c r="G16" s="4">
        <f t="shared" si="1"/>
        <v>-3.1142857142857148</v>
      </c>
      <c r="H16" s="4">
        <f>(C16-D16) + E16</f>
        <v>-6</v>
      </c>
      <c r="I16" s="3">
        <v>51</v>
      </c>
      <c r="J16" s="4">
        <f>I16/2 - E16/2</f>
        <v>27</v>
      </c>
      <c r="K16" s="4">
        <f>C16-J16</f>
        <v>-8</v>
      </c>
      <c r="L16" s="4">
        <f>I16/2 + E16/2</f>
        <v>24</v>
      </c>
      <c r="M16" s="4">
        <f>D16-L16</f>
        <v>-2</v>
      </c>
      <c r="N16" s="4">
        <f t="shared" si="2"/>
        <v>-6.1142857142857148</v>
      </c>
      <c r="O16" s="4">
        <f t="shared" si="3"/>
        <v>27.057142857142857</v>
      </c>
      <c r="P16" s="4">
        <f t="shared" si="4"/>
        <v>-8.0571428571428569</v>
      </c>
      <c r="Q16" s="4">
        <f t="shared" si="5"/>
        <v>23.942857142857143</v>
      </c>
      <c r="R16" s="4">
        <f t="shared" si="6"/>
        <v>-1.9428571428571431</v>
      </c>
      <c r="S16" s="2">
        <v>-156</v>
      </c>
      <c r="T16" s="11">
        <f t="shared" si="0"/>
        <v>0.609375</v>
      </c>
    </row>
    <row r="18" spans="1:20" s="4" customFormat="1" x14ac:dyDescent="0.2">
      <c r="A18" s="5" t="s">
        <v>25</v>
      </c>
      <c r="C18" s="4">
        <f>SUM(C4:C16)</f>
        <v>437</v>
      </c>
      <c r="D18" s="4">
        <f>SUM(D4:D16)</f>
        <v>152</v>
      </c>
      <c r="E18" s="4">
        <f t="shared" ref="E18:F18" si="7">SUM(E4:E16)</f>
        <v>-278</v>
      </c>
      <c r="F18" s="4">
        <f t="shared" si="7"/>
        <v>-1435</v>
      </c>
      <c r="G18" s="4">
        <f>SUM(G4:G16)</f>
        <v>-293.20476190476194</v>
      </c>
      <c r="H18" s="4">
        <f>SUM(H4:H16)</f>
        <v>7</v>
      </c>
      <c r="I18" s="4">
        <f>SUM(I4:I16)</f>
        <v>682</v>
      </c>
      <c r="J18" s="4">
        <f>SUM(J4:J16)</f>
        <v>480</v>
      </c>
      <c r="K18" s="4">
        <f>SUM(K4:K16)</f>
        <v>-43</v>
      </c>
      <c r="L18" s="4">
        <f>SUM(L4:L16)</f>
        <v>202</v>
      </c>
      <c r="M18" s="4">
        <f>SUM(M3:M16)</f>
        <v>-50</v>
      </c>
      <c r="N18" s="4">
        <f t="shared" ref="N18:R18" si="8">SUM(N3:N16)</f>
        <v>-8.2047619047619094</v>
      </c>
      <c r="O18" s="4">
        <f t="shared" si="8"/>
        <v>487.60238095238094</v>
      </c>
      <c r="P18" s="4">
        <f t="shared" si="8"/>
        <v>-50.602380952380962</v>
      </c>
      <c r="Q18" s="4">
        <f t="shared" si="8"/>
        <v>194.397619047619</v>
      </c>
      <c r="R18" s="4">
        <f t="shared" si="8"/>
        <v>-42.397619047619038</v>
      </c>
    </row>
    <row r="19" spans="1:20" s="7" customFormat="1" x14ac:dyDescent="0.2">
      <c r="A19" s="6" t="s">
        <v>26</v>
      </c>
      <c r="C19" s="7">
        <f t="shared" ref="C19:S19" si="9">AVERAGE(C4:C16)</f>
        <v>33.615384615384613</v>
      </c>
      <c r="D19" s="7">
        <f t="shared" si="9"/>
        <v>11.692307692307692</v>
      </c>
      <c r="E19" s="7">
        <f t="shared" si="9"/>
        <v>-21.384615384615383</v>
      </c>
      <c r="F19" s="7">
        <f t="shared" si="9"/>
        <v>-110.38461538461539</v>
      </c>
      <c r="G19" s="4">
        <f>AVERAGE(G4:G16)</f>
        <v>-22.554212454212458</v>
      </c>
      <c r="H19" s="7">
        <f t="shared" si="9"/>
        <v>0.53846153846153844</v>
      </c>
      <c r="I19" s="7">
        <f t="shared" si="9"/>
        <v>52.46153846153846</v>
      </c>
      <c r="J19" s="7">
        <f t="shared" si="9"/>
        <v>36.92307692307692</v>
      </c>
      <c r="K19" s="7">
        <f t="shared" si="9"/>
        <v>-3.3076923076923075</v>
      </c>
      <c r="L19" s="7">
        <f t="shared" si="9"/>
        <v>15.538461538461538</v>
      </c>
      <c r="M19" s="7">
        <f t="shared" si="9"/>
        <v>-3.8461538461538463</v>
      </c>
      <c r="N19" s="7">
        <f t="shared" si="9"/>
        <v>-0.63113553113553145</v>
      </c>
      <c r="O19" s="7">
        <f t="shared" si="9"/>
        <v>37.507875457875457</v>
      </c>
      <c r="P19" s="7">
        <f t="shared" si="9"/>
        <v>-3.8924908424908433</v>
      </c>
      <c r="Q19" s="7">
        <f t="shared" si="9"/>
        <v>14.953663003662999</v>
      </c>
      <c r="R19" s="7">
        <f>AVERAGE(R4:R16)</f>
        <v>-3.2613553113553104</v>
      </c>
      <c r="S19" s="7">
        <f t="shared" si="9"/>
        <v>-6518.4615384615381</v>
      </c>
      <c r="T19" s="8">
        <f>AVERAGE(T4:T17)</f>
        <v>0.85953728966199239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1D17-FD5E-C844-97B2-3B3FC6351024}">
  <sheetPr>
    <tabColor theme="4"/>
  </sheetPr>
  <dimension ref="A1:T46"/>
  <sheetViews>
    <sheetView zoomScale="50" zoomScaleNormal="100" workbookViewId="0">
      <selection activeCell="N28" sqref="N28"/>
    </sheetView>
  </sheetViews>
  <sheetFormatPr baseColWidth="10" defaultColWidth="9.83203125" defaultRowHeight="15" x14ac:dyDescent="0.2"/>
  <cols>
    <col min="1" max="1" width="19.83203125" style="2" bestFit="1" customWidth="1"/>
    <col min="2" max="2" width="24.5" style="2" bestFit="1" customWidth="1"/>
    <col min="3" max="3" width="13.83203125" style="2" bestFit="1" customWidth="1"/>
    <col min="4" max="5" width="17.5" style="2" bestFit="1" customWidth="1"/>
    <col min="6" max="6" width="15.5" style="2" bestFit="1" customWidth="1"/>
    <col min="7" max="7" width="15.1640625" style="2" bestFit="1" customWidth="1"/>
    <col min="8" max="8" width="34.83203125" style="2" bestFit="1" customWidth="1"/>
    <col min="9" max="9" width="9.5" style="2" bestFit="1" customWidth="1"/>
    <col min="10" max="10" width="24.1640625" style="2" bestFit="1" customWidth="1"/>
    <col min="11" max="11" width="32.83203125" style="2" bestFit="1" customWidth="1"/>
    <col min="12" max="12" width="24.1640625" style="2" bestFit="1" customWidth="1"/>
    <col min="13" max="13" width="36.1640625" style="2" bestFit="1" customWidth="1"/>
    <col min="14" max="14" width="32.83203125" style="2" bestFit="1" customWidth="1"/>
    <col min="15" max="15" width="22.1640625" style="2" bestFit="1" customWidth="1"/>
    <col min="16" max="16" width="30.5" style="2" bestFit="1" customWidth="1"/>
    <col min="17" max="17" width="22.1640625" style="2" bestFit="1" customWidth="1"/>
    <col min="18" max="18" width="34.1640625" style="2" bestFit="1" customWidth="1"/>
    <col min="19" max="19" width="17.83203125" style="2" bestFit="1" customWidth="1"/>
    <col min="20" max="20" width="19.1640625" style="2" bestFit="1" customWidth="1"/>
    <col min="21" max="16384" width="9.83203125" style="2"/>
  </cols>
  <sheetData>
    <row r="1" spans="1:20" x14ac:dyDescent="0.2">
      <c r="A1" s="1" t="s">
        <v>0</v>
      </c>
      <c r="B1" s="1" t="s">
        <v>75</v>
      </c>
      <c r="C1" s="1" t="s">
        <v>2</v>
      </c>
      <c r="D1" s="1" t="s">
        <v>76</v>
      </c>
      <c r="F1" s="1"/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12</v>
      </c>
      <c r="C4" s="9">
        <v>34</v>
      </c>
      <c r="D4" s="9">
        <v>12</v>
      </c>
      <c r="E4" s="10">
        <v>-7.5</v>
      </c>
      <c r="F4" s="2">
        <v>-105</v>
      </c>
      <c r="G4" s="4">
        <f>E4*(F4/-105)</f>
        <v>-7.5</v>
      </c>
      <c r="H4" s="4">
        <f>(C4-D4) + E4</f>
        <v>14.5</v>
      </c>
      <c r="I4" s="3">
        <v>49</v>
      </c>
      <c r="J4" s="4">
        <f>I4/2 - E4/2</f>
        <v>28.25</v>
      </c>
      <c r="K4" s="4">
        <f>C4-J4</f>
        <v>5.75</v>
      </c>
      <c r="L4" s="4">
        <f>I4/2 + E4/2</f>
        <v>20.75</v>
      </c>
      <c r="M4" s="4">
        <f>D4-L4</f>
        <v>-8.75</v>
      </c>
      <c r="N4" s="4">
        <f>(C4-D4) + G4</f>
        <v>14.5</v>
      </c>
      <c r="O4" s="4">
        <f>I4/2 - G4/2</f>
        <v>28.25</v>
      </c>
      <c r="P4" s="4">
        <f>C4-O4</f>
        <v>5.75</v>
      </c>
      <c r="Q4" s="4">
        <f>I4/2 + G4/2</f>
        <v>20.75</v>
      </c>
      <c r="R4" s="4">
        <f>D4-Q4</f>
        <v>-8.75</v>
      </c>
      <c r="S4" s="2">
        <v>-311</v>
      </c>
      <c r="T4" s="11">
        <f t="shared" ref="T4:T16" si="0">IF(S4&gt;0,100/(100+S4),ABS(S4)/(100+ABS(S4)))</f>
        <v>0.75669099756690994</v>
      </c>
    </row>
    <row r="5" spans="1:20" x14ac:dyDescent="0.2">
      <c r="A5" s="2">
        <v>2</v>
      </c>
      <c r="B5" s="2" t="s">
        <v>13</v>
      </c>
      <c r="C5" s="9">
        <v>34</v>
      </c>
      <c r="D5" s="9">
        <v>27</v>
      </c>
      <c r="E5" s="3">
        <v>-34</v>
      </c>
      <c r="F5" s="2">
        <v>-110</v>
      </c>
      <c r="G5" s="4">
        <f t="shared" ref="G5:G16" si="1">E5*(F5/-105)</f>
        <v>-35.61904761904762</v>
      </c>
      <c r="H5" s="4">
        <f>(C5-D5) + E5</f>
        <v>-27</v>
      </c>
      <c r="I5" s="3">
        <v>51</v>
      </c>
      <c r="J5" s="4">
        <f>I5/2 - E5/2</f>
        <v>42.5</v>
      </c>
      <c r="K5" s="4">
        <f>C5-J5</f>
        <v>-8.5</v>
      </c>
      <c r="L5" s="4">
        <f>I5/2 + E5/2</f>
        <v>8.5</v>
      </c>
      <c r="M5" s="4">
        <f>D5-L5</f>
        <v>18.5</v>
      </c>
      <c r="N5" s="4">
        <f t="shared" ref="N5:N16" si="2">(C5-D5) + G5</f>
        <v>-28.61904761904762</v>
      </c>
      <c r="O5" s="4">
        <f t="shared" ref="O5:O16" si="3">I5/2 - G5/2</f>
        <v>43.30952380952381</v>
      </c>
      <c r="P5" s="4">
        <f t="shared" ref="P5:P16" si="4">C5-O5</f>
        <v>-9.3095238095238102</v>
      </c>
      <c r="Q5" s="4">
        <f t="shared" ref="Q5:Q16" si="5">I5/2 + G5/2</f>
        <v>7.6904761904761898</v>
      </c>
      <c r="R5" s="4">
        <f t="shared" ref="R5:R16" si="6">D5-Q5</f>
        <v>19.30952380952381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14</v>
      </c>
      <c r="C6" s="9">
        <v>56</v>
      </c>
      <c r="D6" s="9">
        <v>0</v>
      </c>
      <c r="E6" s="3">
        <v>-49</v>
      </c>
      <c r="F6" s="2">
        <v>-112</v>
      </c>
      <c r="G6" s="4">
        <f t="shared" si="1"/>
        <v>-52.266666666666666</v>
      </c>
      <c r="H6" s="4">
        <f>(C6-D6) + E6</f>
        <v>7</v>
      </c>
      <c r="I6" s="3">
        <v>57.5</v>
      </c>
      <c r="J6" s="4">
        <f>I6/2 - E6/2</f>
        <v>53.25</v>
      </c>
      <c r="K6" s="4">
        <f>C6-J6</f>
        <v>2.75</v>
      </c>
      <c r="L6" s="4">
        <f>I6/2 + E6/2</f>
        <v>4.25</v>
      </c>
      <c r="M6" s="4">
        <f>D6-L6</f>
        <v>-4.25</v>
      </c>
      <c r="N6" s="4">
        <f t="shared" si="2"/>
        <v>3.7333333333333343</v>
      </c>
      <c r="O6" s="4">
        <f t="shared" si="3"/>
        <v>54.883333333333333</v>
      </c>
      <c r="P6" s="4">
        <f t="shared" si="4"/>
        <v>1.1166666666666671</v>
      </c>
      <c r="Q6" s="4">
        <f t="shared" si="5"/>
        <v>2.6166666666666671</v>
      </c>
      <c r="R6" s="4">
        <f t="shared" si="6"/>
        <v>-2.6166666666666671</v>
      </c>
      <c r="S6" s="2">
        <v>-20000</v>
      </c>
      <c r="T6" s="11">
        <f t="shared" si="0"/>
        <v>0.99502487562189057</v>
      </c>
    </row>
    <row r="7" spans="1:20" x14ac:dyDescent="0.2">
      <c r="A7" s="2">
        <v>4</v>
      </c>
      <c r="B7" s="2" t="s">
        <v>15</v>
      </c>
      <c r="C7" s="9">
        <v>21</v>
      </c>
      <c r="D7" s="9">
        <v>7</v>
      </c>
      <c r="E7" s="3">
        <v>-19.5</v>
      </c>
      <c r="F7" s="2">
        <v>-110</v>
      </c>
      <c r="G7" s="4">
        <f t="shared" si="1"/>
        <v>-20.428571428571431</v>
      </c>
      <c r="H7" s="4">
        <f>(C7-D7) + E7</f>
        <v>-5.5</v>
      </c>
      <c r="I7" s="3">
        <v>48.5</v>
      </c>
      <c r="J7" s="4">
        <f>I7/2 - E7/2</f>
        <v>34</v>
      </c>
      <c r="K7" s="4">
        <f>C7-J7</f>
        <v>-13</v>
      </c>
      <c r="L7" s="4">
        <f>I7/2 + E7/2</f>
        <v>14.5</v>
      </c>
      <c r="M7" s="4">
        <f>D7-L7</f>
        <v>-7.5</v>
      </c>
      <c r="N7" s="4">
        <f t="shared" si="2"/>
        <v>-6.4285714285714306</v>
      </c>
      <c r="O7" s="4">
        <f t="shared" si="3"/>
        <v>34.464285714285715</v>
      </c>
      <c r="P7" s="4">
        <f t="shared" si="4"/>
        <v>-13.464285714285715</v>
      </c>
      <c r="Q7" s="4">
        <f t="shared" si="5"/>
        <v>14.035714285714285</v>
      </c>
      <c r="R7" s="4">
        <f t="shared" si="6"/>
        <v>-7.0357142857142847</v>
      </c>
      <c r="S7" s="2">
        <v>-1108</v>
      </c>
      <c r="T7" s="11">
        <f t="shared" si="0"/>
        <v>0.91721854304635764</v>
      </c>
    </row>
    <row r="8" spans="1:20" x14ac:dyDescent="0.2">
      <c r="A8" s="2">
        <v>5</v>
      </c>
      <c r="B8" s="2" t="s">
        <v>16</v>
      </c>
      <c r="C8" s="9">
        <v>27</v>
      </c>
      <c r="D8" s="9">
        <v>11</v>
      </c>
      <c r="E8" s="3">
        <v>-29.5</v>
      </c>
      <c r="F8" s="2">
        <v>-110</v>
      </c>
      <c r="G8" s="4">
        <f t="shared" si="1"/>
        <v>-30.904761904761905</v>
      </c>
      <c r="H8" s="4">
        <f>(C8-D8) + E8</f>
        <v>-13.5</v>
      </c>
      <c r="I8" s="3">
        <v>48</v>
      </c>
      <c r="J8" s="4">
        <f>I8/2 - E8/2</f>
        <v>38.75</v>
      </c>
      <c r="K8" s="4">
        <f>C8-J8</f>
        <v>-11.75</v>
      </c>
      <c r="L8" s="4">
        <f>I8/2 + E8/2</f>
        <v>9.25</v>
      </c>
      <c r="M8" s="4">
        <f>D8-L8</f>
        <v>1.75</v>
      </c>
      <c r="N8" s="4">
        <f t="shared" si="2"/>
        <v>-14.904761904761905</v>
      </c>
      <c r="O8" s="4">
        <f t="shared" si="3"/>
        <v>39.452380952380949</v>
      </c>
      <c r="P8" s="4">
        <f t="shared" si="4"/>
        <v>-12.452380952380949</v>
      </c>
      <c r="Q8" s="4">
        <f t="shared" si="5"/>
        <v>8.5476190476190474</v>
      </c>
      <c r="R8" s="4">
        <f t="shared" si="6"/>
        <v>2.4523809523809526</v>
      </c>
      <c r="S8" s="2">
        <v>-7525</v>
      </c>
      <c r="T8" s="11">
        <f t="shared" si="0"/>
        <v>0.9868852459016394</v>
      </c>
    </row>
    <row r="9" spans="1:20" x14ac:dyDescent="0.2">
      <c r="A9" s="2">
        <v>6</v>
      </c>
      <c r="B9" s="2" t="s">
        <v>17</v>
      </c>
      <c r="C9" s="9">
        <v>33</v>
      </c>
      <c r="D9" s="9">
        <v>30</v>
      </c>
      <c r="E9" s="3">
        <v>-3.5</v>
      </c>
      <c r="F9" s="2">
        <v>-111</v>
      </c>
      <c r="G9" s="4">
        <f t="shared" si="1"/>
        <v>-3.7</v>
      </c>
      <c r="H9" s="4">
        <f>(C9-D9) + E9</f>
        <v>-0.5</v>
      </c>
      <c r="I9" s="3">
        <v>52</v>
      </c>
      <c r="J9" s="4">
        <f>I9/2 - E9/2</f>
        <v>27.75</v>
      </c>
      <c r="K9" s="4">
        <f>C9-J9</f>
        <v>5.25</v>
      </c>
      <c r="L9" s="4">
        <f>I9/2 + E9/2</f>
        <v>24.25</v>
      </c>
      <c r="M9" s="4">
        <f>D9-L9</f>
        <v>5.75</v>
      </c>
      <c r="N9" s="4">
        <f t="shared" si="2"/>
        <v>-0.70000000000000018</v>
      </c>
      <c r="O9" s="4">
        <f t="shared" si="3"/>
        <v>27.85</v>
      </c>
      <c r="P9" s="4">
        <f t="shared" si="4"/>
        <v>5.1499999999999986</v>
      </c>
      <c r="Q9" s="4">
        <f t="shared" si="5"/>
        <v>24.15</v>
      </c>
      <c r="R9" s="4">
        <f t="shared" si="6"/>
        <v>5.8500000000000014</v>
      </c>
      <c r="S9" s="2">
        <v>-182</v>
      </c>
      <c r="T9" s="11">
        <f t="shared" si="0"/>
        <v>0.64539007092198586</v>
      </c>
    </row>
    <row r="10" spans="1:20" x14ac:dyDescent="0.2">
      <c r="A10" s="2">
        <v>7</v>
      </c>
      <c r="B10" s="2" t="s">
        <v>18</v>
      </c>
      <c r="C10" s="9">
        <v>28</v>
      </c>
      <c r="D10" s="9">
        <v>13</v>
      </c>
      <c r="E10" s="10">
        <v>-6.5</v>
      </c>
      <c r="F10" s="2">
        <v>-108</v>
      </c>
      <c r="G10" s="4">
        <f t="shared" si="1"/>
        <v>-6.6857142857142851</v>
      </c>
      <c r="H10" s="4">
        <f>(C10-D10) + E10</f>
        <v>8.5</v>
      </c>
      <c r="I10" s="3">
        <v>47.5</v>
      </c>
      <c r="J10" s="4">
        <f>I10/2 - E10/2</f>
        <v>27</v>
      </c>
      <c r="K10" s="4">
        <f>C10-J10</f>
        <v>1</v>
      </c>
      <c r="L10" s="4">
        <f>I10/2 + E10/2</f>
        <v>20.5</v>
      </c>
      <c r="M10" s="4">
        <f>D10-L10</f>
        <v>-7.5</v>
      </c>
      <c r="N10" s="4">
        <f t="shared" si="2"/>
        <v>8.3142857142857149</v>
      </c>
      <c r="O10" s="4">
        <f t="shared" si="3"/>
        <v>27.092857142857142</v>
      </c>
      <c r="P10" s="4">
        <f t="shared" si="4"/>
        <v>0.90714285714285836</v>
      </c>
      <c r="Q10" s="4">
        <f t="shared" si="5"/>
        <v>20.407142857142858</v>
      </c>
      <c r="R10" s="4">
        <f t="shared" si="6"/>
        <v>-7.4071428571428584</v>
      </c>
      <c r="S10" s="2">
        <v>-235</v>
      </c>
      <c r="T10" s="11">
        <f t="shared" si="0"/>
        <v>0.70149253731343286</v>
      </c>
    </row>
    <row r="11" spans="1:20" x14ac:dyDescent="0.2">
      <c r="A11" s="2">
        <v>8</v>
      </c>
      <c r="B11" s="2" t="s">
        <v>19</v>
      </c>
      <c r="C11" s="2">
        <v>13</v>
      </c>
      <c r="D11" s="2">
        <v>20</v>
      </c>
      <c r="E11" s="3">
        <v>3</v>
      </c>
      <c r="F11" s="2">
        <v>-107</v>
      </c>
      <c r="G11" s="4">
        <f t="shared" si="1"/>
        <v>3.0571428571428569</v>
      </c>
      <c r="H11" s="4">
        <f>(C11-D11) + E11</f>
        <v>-4</v>
      </c>
      <c r="I11" s="3">
        <v>47.5</v>
      </c>
      <c r="J11" s="4">
        <f>I11/2 - E11/2</f>
        <v>22.25</v>
      </c>
      <c r="K11" s="4">
        <f>C11-J11</f>
        <v>-9.25</v>
      </c>
      <c r="L11" s="4">
        <f>I11/2 + E11/2</f>
        <v>25.25</v>
      </c>
      <c r="M11" s="4">
        <f>D11-L11</f>
        <v>-5.25</v>
      </c>
      <c r="N11" s="4">
        <f t="shared" si="2"/>
        <v>-3.9428571428571431</v>
      </c>
      <c r="O11" s="4">
        <f t="shared" si="3"/>
        <v>22.221428571428572</v>
      </c>
      <c r="P11" s="4">
        <f t="shared" si="4"/>
        <v>-9.2214285714285715</v>
      </c>
      <c r="Q11" s="4">
        <f t="shared" si="5"/>
        <v>25.278571428571428</v>
      </c>
      <c r="R11" s="4">
        <f t="shared" si="6"/>
        <v>-5.2785714285714285</v>
      </c>
      <c r="S11" s="2">
        <v>136</v>
      </c>
      <c r="T11" s="11">
        <f t="shared" si="0"/>
        <v>0.42372881355932202</v>
      </c>
    </row>
    <row r="12" spans="1:20" x14ac:dyDescent="0.2">
      <c r="A12" s="2">
        <v>9</v>
      </c>
      <c r="B12" s="2" t="s">
        <v>20</v>
      </c>
      <c r="C12" s="9">
        <v>35</v>
      </c>
      <c r="D12" s="9">
        <v>6</v>
      </c>
      <c r="E12" s="10">
        <v>-13.5</v>
      </c>
      <c r="F12" s="2">
        <v>-114</v>
      </c>
      <c r="G12" s="4">
        <f t="shared" si="1"/>
        <v>-14.657142857142857</v>
      </c>
      <c r="H12" s="4">
        <f>(C12-D12) + E12</f>
        <v>15.5</v>
      </c>
      <c r="I12" s="3">
        <v>47.5</v>
      </c>
      <c r="J12" s="4">
        <f>I12/2 - E12/2</f>
        <v>30.5</v>
      </c>
      <c r="K12" s="4">
        <f>C12-J12</f>
        <v>4.5</v>
      </c>
      <c r="L12" s="4">
        <f>I12/2 + E12/2</f>
        <v>17</v>
      </c>
      <c r="M12" s="4">
        <f>D12-L12</f>
        <v>-11</v>
      </c>
      <c r="N12" s="4">
        <f t="shared" si="2"/>
        <v>14.342857142857143</v>
      </c>
      <c r="O12" s="4">
        <f t="shared" si="3"/>
        <v>31.078571428571429</v>
      </c>
      <c r="P12" s="4">
        <f t="shared" si="4"/>
        <v>3.9214285714285708</v>
      </c>
      <c r="Q12" s="4">
        <f t="shared" si="5"/>
        <v>16.421428571428571</v>
      </c>
      <c r="R12" s="4">
        <f t="shared" si="6"/>
        <v>-10.421428571428571</v>
      </c>
      <c r="S12" s="2">
        <v>-560</v>
      </c>
      <c r="T12" s="11">
        <f t="shared" si="0"/>
        <v>0.84848484848484851</v>
      </c>
    </row>
    <row r="13" spans="1:20" x14ac:dyDescent="0.2">
      <c r="A13" s="2">
        <v>10</v>
      </c>
      <c r="B13" s="2" t="s">
        <v>21</v>
      </c>
      <c r="C13" s="9">
        <v>49</v>
      </c>
      <c r="D13" s="9">
        <v>10</v>
      </c>
      <c r="E13" s="10">
        <v>-30</v>
      </c>
      <c r="F13" s="2">
        <v>-110</v>
      </c>
      <c r="G13" s="4">
        <f t="shared" si="1"/>
        <v>-31.428571428571431</v>
      </c>
      <c r="H13" s="4">
        <f>(C13-D13) + E13</f>
        <v>9</v>
      </c>
      <c r="I13" s="3">
        <v>51.5</v>
      </c>
      <c r="J13" s="4">
        <f>I13/2 - E13/2</f>
        <v>40.75</v>
      </c>
      <c r="K13" s="4">
        <f>C13-J13</f>
        <v>8.25</v>
      </c>
      <c r="L13" s="4">
        <f>I13/2 + E13/2</f>
        <v>10.75</v>
      </c>
      <c r="M13" s="4">
        <f>D13-L13</f>
        <v>-0.75</v>
      </c>
      <c r="N13" s="4">
        <f t="shared" si="2"/>
        <v>7.5714285714285694</v>
      </c>
      <c r="O13" s="4">
        <f t="shared" si="3"/>
        <v>41.464285714285715</v>
      </c>
      <c r="P13" s="4">
        <f t="shared" si="4"/>
        <v>7.5357142857142847</v>
      </c>
      <c r="Q13" s="4">
        <f t="shared" si="5"/>
        <v>10.035714285714285</v>
      </c>
      <c r="R13" s="4">
        <f t="shared" si="6"/>
        <v>-3.5714285714284699E-2</v>
      </c>
      <c r="S13" s="2">
        <v>-8590</v>
      </c>
      <c r="T13" s="11">
        <f t="shared" si="0"/>
        <v>0.98849252013808975</v>
      </c>
    </row>
    <row r="14" spans="1:20" x14ac:dyDescent="0.2">
      <c r="A14" s="2">
        <v>11</v>
      </c>
      <c r="B14" s="2" t="s">
        <v>22</v>
      </c>
      <c r="C14" s="9">
        <v>26</v>
      </c>
      <c r="D14" s="9">
        <v>25</v>
      </c>
      <c r="E14" s="3">
        <v>-11</v>
      </c>
      <c r="F14" s="2">
        <v>-111</v>
      </c>
      <c r="G14" s="4">
        <f t="shared" si="1"/>
        <v>-11.628571428571428</v>
      </c>
      <c r="H14" s="4">
        <f>(C14-D14) + E14</f>
        <v>-10</v>
      </c>
      <c r="I14" s="3">
        <v>45.5</v>
      </c>
      <c r="J14" s="4">
        <f>I14/2 - E14/2</f>
        <v>28.25</v>
      </c>
      <c r="K14" s="4">
        <f>C14-J14</f>
        <v>-2.25</v>
      </c>
      <c r="L14" s="4">
        <f>I14/2 + E14/2</f>
        <v>17.25</v>
      </c>
      <c r="M14" s="4">
        <f>D14-L14</f>
        <v>7.75</v>
      </c>
      <c r="N14" s="4">
        <f t="shared" si="2"/>
        <v>-10.628571428571428</v>
      </c>
      <c r="O14" s="4">
        <f t="shared" si="3"/>
        <v>28.564285714285713</v>
      </c>
      <c r="P14" s="4">
        <f t="shared" si="4"/>
        <v>-2.5642857142857132</v>
      </c>
      <c r="Q14" s="4">
        <f t="shared" si="5"/>
        <v>16.935714285714287</v>
      </c>
      <c r="R14" s="4">
        <f t="shared" si="6"/>
        <v>8.0642857142857132</v>
      </c>
      <c r="S14" s="2">
        <v>-456</v>
      </c>
      <c r="T14" s="11">
        <f t="shared" si="0"/>
        <v>0.82014388489208634</v>
      </c>
    </row>
    <row r="15" spans="1:20" x14ac:dyDescent="0.2">
      <c r="A15" s="2">
        <v>12</v>
      </c>
      <c r="B15" s="2" t="s">
        <v>23</v>
      </c>
      <c r="C15" s="9">
        <v>44</v>
      </c>
      <c r="D15" s="9">
        <v>7</v>
      </c>
      <c r="E15" s="10">
        <v>-27</v>
      </c>
      <c r="F15" s="2">
        <v>-113</v>
      </c>
      <c r="G15" s="4">
        <f t="shared" si="1"/>
        <v>-29.057142857142857</v>
      </c>
      <c r="H15" s="4">
        <f>(C15-D15) + E15</f>
        <v>10</v>
      </c>
      <c r="I15" s="3">
        <v>50.5</v>
      </c>
      <c r="J15" s="4">
        <f>I15/2 - E15/2</f>
        <v>38.75</v>
      </c>
      <c r="K15" s="4">
        <f>C15-J15</f>
        <v>5.25</v>
      </c>
      <c r="L15" s="4">
        <f>I15/2 + E15/2</f>
        <v>11.75</v>
      </c>
      <c r="M15" s="4">
        <f>D15-L15</f>
        <v>-4.75</v>
      </c>
      <c r="N15" s="4">
        <f t="shared" si="2"/>
        <v>7.9428571428571431</v>
      </c>
      <c r="O15" s="4">
        <f t="shared" si="3"/>
        <v>39.778571428571425</v>
      </c>
      <c r="P15" s="4">
        <f t="shared" si="4"/>
        <v>4.2214285714285751</v>
      </c>
      <c r="Q15" s="4">
        <f t="shared" si="5"/>
        <v>10.721428571428572</v>
      </c>
      <c r="R15" s="4">
        <f t="shared" si="6"/>
        <v>-3.7214285714285715</v>
      </c>
      <c r="S15" s="2">
        <v>-3862</v>
      </c>
      <c r="T15" s="11">
        <f t="shared" si="0"/>
        <v>0.97476022211004543</v>
      </c>
    </row>
    <row r="16" spans="1:20" x14ac:dyDescent="0.2">
      <c r="A16" s="2" t="s">
        <v>77</v>
      </c>
      <c r="B16" s="2" t="s">
        <v>24</v>
      </c>
      <c r="C16" s="2">
        <v>37</v>
      </c>
      <c r="D16" s="2">
        <v>45</v>
      </c>
      <c r="E16" s="3">
        <v>3</v>
      </c>
      <c r="F16" s="2">
        <v>-105</v>
      </c>
      <c r="G16" s="4">
        <f t="shared" si="1"/>
        <v>3</v>
      </c>
      <c r="H16" s="4">
        <f>(C16-D16) + E16</f>
        <v>-5</v>
      </c>
      <c r="I16" s="3">
        <v>51.5</v>
      </c>
      <c r="J16" s="4">
        <f>I16/2 - E16/2</f>
        <v>24.25</v>
      </c>
      <c r="K16" s="4">
        <f>C16-J16</f>
        <v>12.75</v>
      </c>
      <c r="L16" s="4">
        <f>I16/2 + E16/2</f>
        <v>27.25</v>
      </c>
      <c r="M16" s="4">
        <f>D16-L16</f>
        <v>17.75</v>
      </c>
      <c r="N16" s="4">
        <f t="shared" si="2"/>
        <v>-5</v>
      </c>
      <c r="O16" s="4">
        <f t="shared" si="3"/>
        <v>24.25</v>
      </c>
      <c r="P16" s="4">
        <f t="shared" si="4"/>
        <v>12.75</v>
      </c>
      <c r="Q16" s="4">
        <f t="shared" si="5"/>
        <v>27.25</v>
      </c>
      <c r="R16" s="4">
        <f t="shared" si="6"/>
        <v>17.75</v>
      </c>
      <c r="S16" s="2">
        <v>141</v>
      </c>
      <c r="T16" s="11">
        <f t="shared" si="0"/>
        <v>0.41493775933609961</v>
      </c>
    </row>
    <row r="18" spans="1:20" s="4" customFormat="1" x14ac:dyDescent="0.2">
      <c r="A18" s="5" t="s">
        <v>25</v>
      </c>
      <c r="C18" s="4">
        <f>SUM(C4:C16)</f>
        <v>437</v>
      </c>
      <c r="D18" s="4">
        <f>SUM(D4:D16)</f>
        <v>213</v>
      </c>
      <c r="E18" s="4">
        <f t="shared" ref="E18:F18" si="7">SUM(E4:E16)</f>
        <v>-225</v>
      </c>
      <c r="F18" s="4">
        <f t="shared" si="7"/>
        <v>-1426</v>
      </c>
      <c r="G18" s="4">
        <f>SUM(G4:G16)</f>
        <v>-237.81904761904761</v>
      </c>
      <c r="H18" s="4">
        <f>SUM(H4:H16)</f>
        <v>-1</v>
      </c>
      <c r="I18" s="4">
        <f>SUM(I4:I16)</f>
        <v>647.5</v>
      </c>
      <c r="J18" s="4">
        <f>SUM(J4:J16)</f>
        <v>436.25</v>
      </c>
      <c r="K18" s="4">
        <f>SUM(K4:K16)</f>
        <v>0.75</v>
      </c>
      <c r="L18" s="4">
        <f>SUM(L4:L16)</f>
        <v>211.25</v>
      </c>
      <c r="M18" s="4">
        <f>SUM(M3:M16)</f>
        <v>1.75</v>
      </c>
      <c r="N18" s="4">
        <f t="shared" ref="N18:R18" si="8">SUM(N3:N16)</f>
        <v>-13.819047619047623</v>
      </c>
      <c r="O18" s="4">
        <f t="shared" si="8"/>
        <v>442.65952380952376</v>
      </c>
      <c r="P18" s="4">
        <f t="shared" si="8"/>
        <v>-5.6595238095238045</v>
      </c>
      <c r="Q18" s="4">
        <f t="shared" si="8"/>
        <v>204.84047619047618</v>
      </c>
      <c r="R18" s="4">
        <f t="shared" si="8"/>
        <v>8.1595238095238116</v>
      </c>
    </row>
    <row r="19" spans="1:20" s="7" customFormat="1" x14ac:dyDescent="0.2">
      <c r="A19" s="6" t="s">
        <v>26</v>
      </c>
      <c r="C19" s="7">
        <f t="shared" ref="C19:S19" si="9">AVERAGE(C4:C16)</f>
        <v>33.615384615384613</v>
      </c>
      <c r="D19" s="7">
        <f t="shared" si="9"/>
        <v>16.384615384615383</v>
      </c>
      <c r="E19" s="7">
        <f t="shared" si="9"/>
        <v>-17.307692307692307</v>
      </c>
      <c r="F19" s="7">
        <f t="shared" si="9"/>
        <v>-109.69230769230769</v>
      </c>
      <c r="G19" s="4">
        <f>AVERAGE(G4:G16)</f>
        <v>-18.293772893772893</v>
      </c>
      <c r="H19" s="7">
        <f t="shared" si="9"/>
        <v>-7.6923076923076927E-2</v>
      </c>
      <c r="I19" s="7">
        <f t="shared" si="9"/>
        <v>49.807692307692307</v>
      </c>
      <c r="J19" s="7">
        <f t="shared" si="9"/>
        <v>33.557692307692307</v>
      </c>
      <c r="K19" s="7">
        <f t="shared" si="9"/>
        <v>5.7692307692307696E-2</v>
      </c>
      <c r="L19" s="7">
        <f t="shared" si="9"/>
        <v>16.25</v>
      </c>
      <c r="M19" s="7">
        <f t="shared" si="9"/>
        <v>0.13461538461538461</v>
      </c>
      <c r="N19" s="7">
        <f t="shared" si="9"/>
        <v>-1.0630036630036632</v>
      </c>
      <c r="O19" s="7">
        <f t="shared" si="9"/>
        <v>34.050732600732594</v>
      </c>
      <c r="P19" s="7">
        <f t="shared" si="9"/>
        <v>-0.43534798534798497</v>
      </c>
      <c r="Q19" s="7">
        <f t="shared" si="9"/>
        <v>15.756959706959707</v>
      </c>
      <c r="R19" s="7">
        <f>AVERAGE(R4:R16)</f>
        <v>0.62765567765567787</v>
      </c>
      <c r="S19" s="7">
        <f t="shared" si="9"/>
        <v>-4811.6923076923076</v>
      </c>
      <c r="T19" s="8">
        <f>AVERAGE(T4:T17)</f>
        <v>0.8052519380395845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A434-2F9D-EB44-BD90-D7BA17CA89C5}">
  <sheetPr>
    <tabColor rgb="FFFF0000"/>
  </sheetPr>
  <dimension ref="A1:T18"/>
  <sheetViews>
    <sheetView zoomScale="50" zoomScaleNormal="100" workbookViewId="0">
      <selection activeCell="O27" sqref="O27"/>
    </sheetView>
  </sheetViews>
  <sheetFormatPr baseColWidth="10" defaultColWidth="9.83203125" defaultRowHeight="15" x14ac:dyDescent="0.2"/>
  <cols>
    <col min="1" max="1" width="19.83203125" style="2" bestFit="1" customWidth="1"/>
    <col min="2" max="2" width="24.5" style="2" bestFit="1" customWidth="1"/>
    <col min="3" max="3" width="13.83203125" style="2" bestFit="1" customWidth="1"/>
    <col min="4" max="5" width="17.5" style="2" bestFit="1" customWidth="1"/>
    <col min="6" max="6" width="15.5" style="2" bestFit="1" customWidth="1"/>
    <col min="7" max="7" width="15.1640625" style="2" bestFit="1" customWidth="1"/>
    <col min="8" max="8" width="34.83203125" style="2" bestFit="1" customWidth="1"/>
    <col min="9" max="9" width="9.5" style="2" bestFit="1" customWidth="1"/>
    <col min="10" max="10" width="24.1640625" style="2" bestFit="1" customWidth="1"/>
    <col min="11" max="11" width="32.83203125" style="2" bestFit="1" customWidth="1"/>
    <col min="12" max="12" width="24.1640625" style="2" bestFit="1" customWidth="1"/>
    <col min="13" max="13" width="36.1640625" style="2" bestFit="1" customWidth="1"/>
    <col min="14" max="14" width="32.83203125" style="2" bestFit="1" customWidth="1"/>
    <col min="15" max="15" width="22.1640625" style="2" bestFit="1" customWidth="1"/>
    <col min="16" max="16" width="30.5" style="2" bestFit="1" customWidth="1"/>
    <col min="17" max="17" width="22.1640625" style="2" bestFit="1" customWidth="1"/>
    <col min="18" max="18" width="34.1640625" style="2" bestFit="1" customWidth="1"/>
    <col min="19" max="19" width="17.83203125" style="2" bestFit="1" customWidth="1"/>
    <col min="20" max="20" width="19.1640625" style="2" bestFit="1" customWidth="1"/>
    <col min="21" max="16384" width="9.83203125" style="2"/>
  </cols>
  <sheetData>
    <row r="1" spans="1:20" x14ac:dyDescent="0.2">
      <c r="A1" s="1" t="s">
        <v>78</v>
      </c>
      <c r="B1" s="1" t="s">
        <v>79</v>
      </c>
      <c r="C1" s="1" t="s">
        <v>2</v>
      </c>
      <c r="D1" s="1" t="s">
        <v>76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80</v>
      </c>
      <c r="C4" s="9">
        <v>52</v>
      </c>
      <c r="D4" s="9">
        <v>6</v>
      </c>
      <c r="E4" s="3">
        <v>-48.5</v>
      </c>
      <c r="F4" s="2">
        <v>-111</v>
      </c>
      <c r="G4" s="4">
        <f>E4*(F4/-105)</f>
        <v>-51.271428571428572</v>
      </c>
      <c r="H4" s="4">
        <f>(C4-D4) + E4</f>
        <v>-2.5</v>
      </c>
      <c r="I4" s="3">
        <v>56.5</v>
      </c>
      <c r="J4" s="4">
        <f>I4/2 - E4/2</f>
        <v>52.5</v>
      </c>
      <c r="K4" s="4">
        <f>C4-J4</f>
        <v>-0.5</v>
      </c>
      <c r="L4" s="4">
        <f>I4/2 + E4/2</f>
        <v>4</v>
      </c>
      <c r="M4" s="4">
        <f>D4-L4</f>
        <v>2</v>
      </c>
      <c r="N4" s="4">
        <f>(C4-D4) + G4</f>
        <v>-5.2714285714285722</v>
      </c>
      <c r="O4" s="4">
        <f>I4/2 - G4/2</f>
        <v>53.885714285714286</v>
      </c>
      <c r="P4" s="4">
        <f>C4-O4</f>
        <v>-1.8857142857142861</v>
      </c>
      <c r="Q4" s="4">
        <f>I4/2 + G4/2</f>
        <v>2.6142857142857139</v>
      </c>
      <c r="R4" s="4">
        <f>D4-Q4</f>
        <v>3.3857142857142861</v>
      </c>
      <c r="S4" s="2">
        <v>-20000</v>
      </c>
      <c r="T4" s="11">
        <f t="shared" ref="T4:T15" si="0">IF(S4&gt;0,100/(100+S4),ABS(S4)/(100+ABS(S4)))</f>
        <v>0.99502487562189057</v>
      </c>
    </row>
    <row r="5" spans="1:20" x14ac:dyDescent="0.2">
      <c r="A5" s="2">
        <v>2</v>
      </c>
      <c r="B5" s="2" t="s">
        <v>81</v>
      </c>
      <c r="C5" s="9">
        <v>56</v>
      </c>
      <c r="D5" s="9">
        <v>0</v>
      </c>
      <c r="E5" s="10">
        <v>-37.5</v>
      </c>
      <c r="F5" s="2">
        <v>-113</v>
      </c>
      <c r="G5" s="4">
        <f t="shared" ref="G5:G15" si="1">E5*(F5/-105)</f>
        <v>-40.357142857142854</v>
      </c>
      <c r="H5" s="4">
        <f>(C5-D5) + E5</f>
        <v>18.5</v>
      </c>
      <c r="I5" s="3">
        <v>54.5</v>
      </c>
      <c r="J5" s="4">
        <f>I5/2 - E5/2</f>
        <v>46</v>
      </c>
      <c r="K5" s="4">
        <f>C5-J5</f>
        <v>10</v>
      </c>
      <c r="L5" s="4">
        <f>I5/2 + E5/2</f>
        <v>8.5</v>
      </c>
      <c r="M5" s="4">
        <f>D5-L5</f>
        <v>-8.5</v>
      </c>
      <c r="N5" s="4">
        <f t="shared" ref="N5:N15" si="2">(C5-D5) + G5</f>
        <v>15.642857142857146</v>
      </c>
      <c r="O5" s="4">
        <f t="shared" ref="O5:O15" si="3">I5/2 - G5/2</f>
        <v>47.428571428571431</v>
      </c>
      <c r="P5" s="4">
        <f t="shared" ref="P5:P15" si="4">C5-O5</f>
        <v>8.5714285714285694</v>
      </c>
      <c r="Q5" s="4">
        <f t="shared" ref="Q5:Q15" si="5">I5/2 + G5/2</f>
        <v>7.071428571428573</v>
      </c>
      <c r="R5" s="4">
        <f t="shared" ref="R5:R15" si="6">D5-Q5</f>
        <v>-7.071428571428573</v>
      </c>
      <c r="S5" s="2">
        <v>-200</v>
      </c>
      <c r="T5" s="11">
        <f t="shared" si="0"/>
        <v>0.66666666666666663</v>
      </c>
    </row>
    <row r="6" spans="1:20" x14ac:dyDescent="0.2">
      <c r="A6" s="2">
        <v>3</v>
      </c>
      <c r="B6" s="2" t="s">
        <v>82</v>
      </c>
      <c r="C6" s="9">
        <v>49</v>
      </c>
      <c r="D6" s="9">
        <v>14</v>
      </c>
      <c r="E6" s="3">
        <v>-40</v>
      </c>
      <c r="F6" s="2">
        <v>-110</v>
      </c>
      <c r="G6" s="4">
        <f t="shared" si="1"/>
        <v>-41.904761904761905</v>
      </c>
      <c r="H6" s="4">
        <f>(C6-D6) + E6</f>
        <v>-5</v>
      </c>
      <c r="I6" s="3">
        <v>56.5</v>
      </c>
      <c r="J6" s="4">
        <f>I6/2 - E6/2</f>
        <v>48.25</v>
      </c>
      <c r="K6" s="4">
        <f>C6-J6</f>
        <v>0.75</v>
      </c>
      <c r="L6" s="4">
        <f>I6/2 + E6/2</f>
        <v>8.25</v>
      </c>
      <c r="M6" s="4">
        <f>D6-L6</f>
        <v>5.75</v>
      </c>
      <c r="N6" s="4">
        <f t="shared" si="2"/>
        <v>-6.9047619047619051</v>
      </c>
      <c r="O6" s="4">
        <f t="shared" si="3"/>
        <v>49.202380952380949</v>
      </c>
      <c r="P6" s="4">
        <f t="shared" si="4"/>
        <v>-0.202380952380949</v>
      </c>
      <c r="Q6" s="4">
        <f t="shared" si="5"/>
        <v>7.2976190476190474</v>
      </c>
      <c r="R6" s="4">
        <f t="shared" si="6"/>
        <v>6.7023809523809526</v>
      </c>
      <c r="S6" s="2">
        <v>-20000</v>
      </c>
      <c r="T6" s="11">
        <f t="shared" si="0"/>
        <v>0.99502487562189057</v>
      </c>
    </row>
    <row r="7" spans="1:20" x14ac:dyDescent="0.2">
      <c r="A7" s="2">
        <v>4</v>
      </c>
      <c r="B7" s="2" t="s">
        <v>35</v>
      </c>
      <c r="C7" s="9">
        <v>38</v>
      </c>
      <c r="D7" s="9">
        <v>7</v>
      </c>
      <c r="E7" s="10">
        <v>-23.5</v>
      </c>
      <c r="F7" s="2">
        <v>-112</v>
      </c>
      <c r="G7" s="4">
        <f t="shared" si="1"/>
        <v>-25.066666666666666</v>
      </c>
      <c r="H7" s="4">
        <f>(C7-D7) + E7</f>
        <v>7.5</v>
      </c>
      <c r="I7" s="3">
        <v>48.5</v>
      </c>
      <c r="J7" s="4">
        <f>I7/2 - E7/2</f>
        <v>36</v>
      </c>
      <c r="K7" s="4">
        <f>C7-J7</f>
        <v>2</v>
      </c>
      <c r="L7" s="4">
        <f>I7/2 + E7/2</f>
        <v>12.5</v>
      </c>
      <c r="M7" s="4">
        <f>D7-L7</f>
        <v>-5.5</v>
      </c>
      <c r="N7" s="4">
        <f t="shared" si="2"/>
        <v>5.9333333333333336</v>
      </c>
      <c r="O7" s="4">
        <f t="shared" si="3"/>
        <v>36.783333333333331</v>
      </c>
      <c r="P7" s="4">
        <f t="shared" si="4"/>
        <v>1.2166666666666686</v>
      </c>
      <c r="Q7" s="4">
        <f t="shared" si="5"/>
        <v>11.716666666666667</v>
      </c>
      <c r="R7" s="4">
        <f t="shared" si="6"/>
        <v>-4.7166666666666668</v>
      </c>
      <c r="S7" s="2">
        <v>-3500</v>
      </c>
      <c r="T7" s="11">
        <f t="shared" si="0"/>
        <v>0.97222222222222221</v>
      </c>
    </row>
    <row r="8" spans="1:20" x14ac:dyDescent="0.2">
      <c r="A8" s="2">
        <v>5</v>
      </c>
      <c r="B8" s="2" t="s">
        <v>83</v>
      </c>
      <c r="C8" s="9">
        <v>35</v>
      </c>
      <c r="D8" s="9">
        <v>7</v>
      </c>
      <c r="E8" s="10">
        <v>-17</v>
      </c>
      <c r="F8" s="2">
        <v>-113</v>
      </c>
      <c r="G8" s="4">
        <f t="shared" si="1"/>
        <v>-18.295238095238094</v>
      </c>
      <c r="H8" s="4">
        <f>(C8-D8) + E8</f>
        <v>11</v>
      </c>
      <c r="I8" s="3">
        <v>45.5</v>
      </c>
      <c r="J8" s="4">
        <f>I8/2 - E8/2</f>
        <v>31.25</v>
      </c>
      <c r="K8" s="4">
        <f>C8-J8</f>
        <v>3.75</v>
      </c>
      <c r="L8" s="4">
        <f>I8/2 + E8/2</f>
        <v>14.25</v>
      </c>
      <c r="M8" s="4">
        <f>D8-L8</f>
        <v>-7.25</v>
      </c>
      <c r="N8" s="4">
        <f t="shared" si="2"/>
        <v>9.7047619047619058</v>
      </c>
      <c r="O8" s="4">
        <f t="shared" si="3"/>
        <v>31.897619047619045</v>
      </c>
      <c r="P8" s="4">
        <f t="shared" si="4"/>
        <v>3.1023809523809547</v>
      </c>
      <c r="Q8" s="4">
        <f t="shared" si="5"/>
        <v>13.602380952380953</v>
      </c>
      <c r="R8" s="4">
        <f t="shared" si="6"/>
        <v>-6.6023809523809529</v>
      </c>
      <c r="S8" s="2">
        <v>-1294</v>
      </c>
      <c r="T8" s="11">
        <f t="shared" si="0"/>
        <v>0.92826398852223813</v>
      </c>
    </row>
    <row r="9" spans="1:20" x14ac:dyDescent="0.2">
      <c r="A9" s="2">
        <v>6</v>
      </c>
      <c r="B9" s="2" t="s">
        <v>24</v>
      </c>
      <c r="C9" s="2">
        <v>31</v>
      </c>
      <c r="D9" s="2">
        <v>32</v>
      </c>
      <c r="E9" s="3">
        <v>-3.5</v>
      </c>
      <c r="F9" s="2">
        <v>-108</v>
      </c>
      <c r="G9" s="4">
        <f t="shared" si="1"/>
        <v>-3.5999999999999996</v>
      </c>
      <c r="H9" s="4">
        <f>(C9-D9) + E9</f>
        <v>-4.5</v>
      </c>
      <c r="I9" s="3">
        <v>54.5</v>
      </c>
      <c r="J9" s="4">
        <f>I9/2 - E9/2</f>
        <v>29</v>
      </c>
      <c r="K9" s="4">
        <f>C9-J9</f>
        <v>2</v>
      </c>
      <c r="L9" s="4">
        <f>I9/2 + E9/2</f>
        <v>25.5</v>
      </c>
      <c r="M9" s="4">
        <f>D9-L9</f>
        <v>6.5</v>
      </c>
      <c r="N9" s="4">
        <f t="shared" si="2"/>
        <v>-4.5999999999999996</v>
      </c>
      <c r="O9" s="4">
        <f t="shared" si="3"/>
        <v>29.05</v>
      </c>
      <c r="P9" s="4">
        <f t="shared" si="4"/>
        <v>1.9499999999999993</v>
      </c>
      <c r="Q9" s="4">
        <f t="shared" si="5"/>
        <v>25.45</v>
      </c>
      <c r="R9" s="4">
        <f t="shared" si="6"/>
        <v>6.5500000000000007</v>
      </c>
      <c r="S9" s="2">
        <v>-171</v>
      </c>
      <c r="T9" s="11">
        <f t="shared" si="0"/>
        <v>0.63099630996309963</v>
      </c>
    </row>
    <row r="10" spans="1:20" x14ac:dyDescent="0.2">
      <c r="A10" s="2">
        <v>7</v>
      </c>
      <c r="B10" s="2" t="s">
        <v>84</v>
      </c>
      <c r="C10" s="9">
        <v>21</v>
      </c>
      <c r="D10" s="9">
        <v>17</v>
      </c>
      <c r="E10" s="3">
        <v>-25</v>
      </c>
      <c r="F10" s="2">
        <v>-111</v>
      </c>
      <c r="G10" s="4">
        <f t="shared" si="1"/>
        <v>-26.428571428571431</v>
      </c>
      <c r="H10" s="4">
        <f>(C10-D10) + E10</f>
        <v>-21</v>
      </c>
      <c r="I10" s="3">
        <v>48</v>
      </c>
      <c r="J10" s="4">
        <f>I10/2 - E10/2</f>
        <v>36.5</v>
      </c>
      <c r="K10" s="4">
        <f>C10-J10</f>
        <v>-15.5</v>
      </c>
      <c r="L10" s="4">
        <f>I10/2 + E10/2</f>
        <v>11.5</v>
      </c>
      <c r="M10" s="4">
        <f>D10-L10</f>
        <v>5.5</v>
      </c>
      <c r="N10" s="4">
        <f t="shared" si="2"/>
        <v>-22.428571428571431</v>
      </c>
      <c r="O10" s="4">
        <f t="shared" si="3"/>
        <v>37.214285714285715</v>
      </c>
      <c r="P10" s="4">
        <f t="shared" si="4"/>
        <v>-16.214285714285715</v>
      </c>
      <c r="Q10" s="4">
        <f t="shared" si="5"/>
        <v>10.785714285714285</v>
      </c>
      <c r="R10" s="4">
        <f t="shared" si="6"/>
        <v>6.2142857142857153</v>
      </c>
      <c r="S10" s="2">
        <v>-5442</v>
      </c>
      <c r="T10" s="11">
        <f t="shared" si="0"/>
        <v>0.98195597257307832</v>
      </c>
    </row>
    <row r="11" spans="1:20" x14ac:dyDescent="0.2">
      <c r="A11" s="2">
        <v>8</v>
      </c>
      <c r="B11" s="2" t="s">
        <v>37</v>
      </c>
      <c r="C11" s="9">
        <v>20</v>
      </c>
      <c r="D11" s="9">
        <v>13</v>
      </c>
      <c r="E11" s="10">
        <v>-3</v>
      </c>
      <c r="F11" s="2">
        <v>-112</v>
      </c>
      <c r="G11" s="4">
        <f t="shared" si="1"/>
        <v>-3.2</v>
      </c>
      <c r="H11" s="4">
        <f>(C11-D11) + E11</f>
        <v>4</v>
      </c>
      <c r="I11" s="3">
        <v>47.5</v>
      </c>
      <c r="J11" s="4">
        <f>I11/2 - E11/2</f>
        <v>25.25</v>
      </c>
      <c r="K11" s="4">
        <f>C11-J11</f>
        <v>-5.25</v>
      </c>
      <c r="L11" s="4">
        <f>I11/2 + E11/2</f>
        <v>22.25</v>
      </c>
      <c r="M11" s="4">
        <f>D11-L11</f>
        <v>-9.25</v>
      </c>
      <c r="N11" s="4">
        <f t="shared" si="2"/>
        <v>3.8</v>
      </c>
      <c r="O11" s="4">
        <f t="shared" si="3"/>
        <v>25.35</v>
      </c>
      <c r="P11" s="4">
        <f t="shared" si="4"/>
        <v>-5.3500000000000014</v>
      </c>
      <c r="Q11" s="4">
        <f t="shared" si="5"/>
        <v>22.15</v>
      </c>
      <c r="R11" s="4">
        <f t="shared" si="6"/>
        <v>-9.1499999999999986</v>
      </c>
      <c r="S11" s="2">
        <v>-162</v>
      </c>
      <c r="T11" s="11">
        <f t="shared" si="0"/>
        <v>0.61832061068702293</v>
      </c>
    </row>
    <row r="12" spans="1:20" x14ac:dyDescent="0.2">
      <c r="A12" s="2">
        <v>9</v>
      </c>
      <c r="B12" s="2" t="s">
        <v>21</v>
      </c>
      <c r="C12" s="9">
        <v>45</v>
      </c>
      <c r="D12" s="9">
        <v>0</v>
      </c>
      <c r="E12" s="10">
        <v>-37.5</v>
      </c>
      <c r="F12" s="2">
        <v>-111</v>
      </c>
      <c r="G12" s="4">
        <f t="shared" si="1"/>
        <v>-39.642857142857146</v>
      </c>
      <c r="H12" s="4">
        <f>(C12-D12) + E12</f>
        <v>7.5</v>
      </c>
      <c r="I12" s="3">
        <v>54.5</v>
      </c>
      <c r="J12" s="4">
        <f>I12/2 - E12/2</f>
        <v>46</v>
      </c>
      <c r="K12" s="4">
        <f>C12-J12</f>
        <v>-1</v>
      </c>
      <c r="L12" s="4">
        <f>I12/2 + E12/2</f>
        <v>8.5</v>
      </c>
      <c r="M12" s="4">
        <f>D12-L12</f>
        <v>-8.5</v>
      </c>
      <c r="N12" s="4">
        <f t="shared" si="2"/>
        <v>5.3571428571428541</v>
      </c>
      <c r="O12" s="4">
        <f t="shared" si="3"/>
        <v>47.071428571428569</v>
      </c>
      <c r="P12" s="4">
        <f t="shared" si="4"/>
        <v>-2.0714285714285694</v>
      </c>
      <c r="Q12" s="4">
        <f t="shared" si="5"/>
        <v>7.428571428571427</v>
      </c>
      <c r="R12" s="4">
        <f t="shared" si="6"/>
        <v>-7.428571428571427</v>
      </c>
      <c r="S12" s="2">
        <v>-210</v>
      </c>
      <c r="T12" s="11">
        <f t="shared" si="0"/>
        <v>0.67741935483870963</v>
      </c>
    </row>
    <row r="13" spans="1:20" x14ac:dyDescent="0.2">
      <c r="A13" s="2">
        <v>10</v>
      </c>
      <c r="B13" s="2" t="s">
        <v>85</v>
      </c>
      <c r="C13" s="9">
        <v>31</v>
      </c>
      <c r="D13" s="9">
        <v>7</v>
      </c>
      <c r="E13" s="3">
        <v>-28</v>
      </c>
      <c r="F13" s="2">
        <v>-108</v>
      </c>
      <c r="G13" s="4">
        <f t="shared" si="1"/>
        <v>-28.799999999999997</v>
      </c>
      <c r="H13" s="4">
        <f>(C13-D13) + E13</f>
        <v>-4</v>
      </c>
      <c r="I13" s="3">
        <v>43.5</v>
      </c>
      <c r="J13" s="4">
        <f>I13/2 - E13/2</f>
        <v>35.75</v>
      </c>
      <c r="K13" s="4">
        <f>C13-J13</f>
        <v>-4.75</v>
      </c>
      <c r="L13" s="4">
        <f>I13/2 + E13/2</f>
        <v>7.75</v>
      </c>
      <c r="M13" s="4">
        <f>D13-L13</f>
        <v>-0.75</v>
      </c>
      <c r="N13" s="4">
        <f t="shared" si="2"/>
        <v>-4.7999999999999972</v>
      </c>
      <c r="O13" s="4">
        <f t="shared" si="3"/>
        <v>36.15</v>
      </c>
      <c r="P13" s="4">
        <f t="shared" si="4"/>
        <v>-5.1499999999999986</v>
      </c>
      <c r="Q13" s="4">
        <f t="shared" si="5"/>
        <v>7.3500000000000014</v>
      </c>
      <c r="R13" s="4">
        <f t="shared" si="6"/>
        <v>-0.35000000000000142</v>
      </c>
      <c r="S13" s="2">
        <v>-8027</v>
      </c>
      <c r="T13" s="11">
        <f t="shared" si="0"/>
        <v>0.98769533653254582</v>
      </c>
    </row>
    <row r="14" spans="1:20" x14ac:dyDescent="0.2">
      <c r="A14" s="2">
        <v>11</v>
      </c>
      <c r="B14" s="2" t="s">
        <v>86</v>
      </c>
      <c r="C14" s="9">
        <v>38</v>
      </c>
      <c r="D14" s="9">
        <v>15</v>
      </c>
      <c r="E14" s="10">
        <v>-10.5</v>
      </c>
      <c r="F14" s="2">
        <v>-110</v>
      </c>
      <c r="G14" s="4">
        <f t="shared" si="1"/>
        <v>-11</v>
      </c>
      <c r="H14" s="4">
        <f>(C14-D14) + E14</f>
        <v>12.5</v>
      </c>
      <c r="I14" s="3">
        <v>52.5</v>
      </c>
      <c r="J14" s="4">
        <f>I14/2 - E14/2</f>
        <v>31.5</v>
      </c>
      <c r="K14" s="4">
        <f>C14-J14</f>
        <v>6.5</v>
      </c>
      <c r="L14" s="4">
        <f>I14/2 + E14/2</f>
        <v>21</v>
      </c>
      <c r="M14" s="4">
        <f>D14-L14</f>
        <v>-6</v>
      </c>
      <c r="N14" s="4">
        <f t="shared" si="2"/>
        <v>12</v>
      </c>
      <c r="O14" s="4">
        <f t="shared" si="3"/>
        <v>31.75</v>
      </c>
      <c r="P14" s="4">
        <f t="shared" si="4"/>
        <v>6.25</v>
      </c>
      <c r="Q14" s="4">
        <f t="shared" si="5"/>
        <v>20.75</v>
      </c>
      <c r="R14" s="4">
        <f t="shared" si="6"/>
        <v>-5.75</v>
      </c>
      <c r="S14" s="2">
        <v>-441</v>
      </c>
      <c r="T14" s="11">
        <f t="shared" si="0"/>
        <v>0.81515711645101663</v>
      </c>
    </row>
    <row r="15" spans="1:20" x14ac:dyDescent="0.2">
      <c r="A15" s="2">
        <v>12</v>
      </c>
      <c r="B15" s="2" t="s">
        <v>36</v>
      </c>
      <c r="C15" s="2">
        <v>10</v>
      </c>
      <c r="D15" s="2">
        <v>13</v>
      </c>
      <c r="E15" s="3">
        <v>-19.5</v>
      </c>
      <c r="F15" s="2">
        <v>-111</v>
      </c>
      <c r="G15" s="4">
        <f t="shared" si="1"/>
        <v>-20.614285714285714</v>
      </c>
      <c r="H15" s="4">
        <f>(C15-D15) + E15</f>
        <v>-22.5</v>
      </c>
      <c r="I15" s="3">
        <v>41.5</v>
      </c>
      <c r="J15" s="4">
        <f>I15/2 - E15/2</f>
        <v>30.5</v>
      </c>
      <c r="K15" s="4">
        <f>C15-J15</f>
        <v>-20.5</v>
      </c>
      <c r="L15" s="4">
        <f>I15/2 + E15/2</f>
        <v>11</v>
      </c>
      <c r="M15" s="4">
        <f>D15-L15</f>
        <v>2</v>
      </c>
      <c r="N15" s="4">
        <f t="shared" si="2"/>
        <v>-23.614285714285714</v>
      </c>
      <c r="O15" s="4">
        <f t="shared" si="3"/>
        <v>31.057142857142857</v>
      </c>
      <c r="P15" s="4">
        <f t="shared" si="4"/>
        <v>-21.057142857142857</v>
      </c>
      <c r="Q15" s="4">
        <f t="shared" si="5"/>
        <v>10.442857142857143</v>
      </c>
      <c r="R15" s="4">
        <f t="shared" si="6"/>
        <v>2.5571428571428569</v>
      </c>
      <c r="S15" s="2">
        <v>-1558</v>
      </c>
      <c r="T15" s="11">
        <f t="shared" si="0"/>
        <v>0.93968636911942094</v>
      </c>
    </row>
    <row r="17" spans="1:20" s="4" customFormat="1" x14ac:dyDescent="0.2">
      <c r="A17" s="5" t="s">
        <v>25</v>
      </c>
      <c r="C17" s="4">
        <f>SUM(C4:C15)</f>
        <v>426</v>
      </c>
      <c r="D17" s="4">
        <f>SUM(D4:D15)</f>
        <v>131</v>
      </c>
      <c r="E17" s="4">
        <f t="shared" ref="E17:F17" si="7">SUM(E4:E15)</f>
        <v>-293.5</v>
      </c>
      <c r="F17" s="4">
        <f t="shared" si="7"/>
        <v>-1330</v>
      </c>
      <c r="G17" s="4">
        <f>SUM(G4:G15)</f>
        <v>-310.18095238095231</v>
      </c>
      <c r="H17" s="4">
        <f>SUM(H4:H15)</f>
        <v>1.5</v>
      </c>
      <c r="I17" s="4">
        <f>SUM(I4:I15)</f>
        <v>603.5</v>
      </c>
      <c r="J17" s="4">
        <f>SUM(J4:J15)</f>
        <v>448.5</v>
      </c>
      <c r="K17" s="4">
        <f>SUM(K4:K15)</f>
        <v>-22.5</v>
      </c>
      <c r="L17" s="4">
        <f>SUM(L4:L15)</f>
        <v>155</v>
      </c>
      <c r="M17" s="4">
        <f>SUM(M3:M15)</f>
        <v>-24</v>
      </c>
      <c r="N17" s="4">
        <f>SUM(N3:N15)</f>
        <v>-15.18095238095238</v>
      </c>
      <c r="O17" s="4">
        <f>SUM(O3:O15)</f>
        <v>456.84047619047618</v>
      </c>
      <c r="P17" s="4">
        <f>SUM(P3:P15)</f>
        <v>-30.840476190476185</v>
      </c>
      <c r="Q17" s="4">
        <f>SUM(Q3:Q15)</f>
        <v>146.65952380952385</v>
      </c>
      <c r="R17" s="4">
        <f>SUM(R3:R15)</f>
        <v>-15.659523809523808</v>
      </c>
    </row>
    <row r="18" spans="1:20" s="7" customFormat="1" x14ac:dyDescent="0.2">
      <c r="A18" s="6" t="s">
        <v>26</v>
      </c>
      <c r="C18" s="7">
        <f>AVERAGE(C4:C15)</f>
        <v>35.5</v>
      </c>
      <c r="D18" s="7">
        <f>AVERAGE(D4:D15)</f>
        <v>10.916666666666666</v>
      </c>
      <c r="E18" s="7">
        <f>AVERAGE(E4:E15)</f>
        <v>-24.458333333333332</v>
      </c>
      <c r="F18" s="7">
        <f>AVERAGE(F4:F15)</f>
        <v>-110.83333333333333</v>
      </c>
      <c r="G18" s="4">
        <f>AVERAGE(G4:G15)</f>
        <v>-25.848412698412691</v>
      </c>
      <c r="H18" s="7">
        <f>AVERAGE(H4:H15)</f>
        <v>0.125</v>
      </c>
      <c r="I18" s="7">
        <f>AVERAGE(I4:I15)</f>
        <v>50.291666666666664</v>
      </c>
      <c r="J18" s="7">
        <f>AVERAGE(J4:J15)</f>
        <v>37.375</v>
      </c>
      <c r="K18" s="7">
        <f>AVERAGE(K4:K15)</f>
        <v>-1.875</v>
      </c>
      <c r="L18" s="7">
        <f>AVERAGE(L4:L15)</f>
        <v>12.916666666666666</v>
      </c>
      <c r="M18" s="7">
        <f>AVERAGE(M4:M15)</f>
        <v>-2</v>
      </c>
      <c r="N18" s="7">
        <f>AVERAGE(N4:N15)</f>
        <v>-1.265079365079365</v>
      </c>
      <c r="O18" s="7">
        <f>AVERAGE(O4:O15)</f>
        <v>38.070039682539679</v>
      </c>
      <c r="P18" s="7">
        <f>AVERAGE(P4:P15)</f>
        <v>-2.5700396825396821</v>
      </c>
      <c r="Q18" s="7">
        <f>AVERAGE(Q4:Q15)</f>
        <v>12.221626984126987</v>
      </c>
      <c r="R18" s="7">
        <f>AVERAGE(R4:R15)</f>
        <v>-1.3049603174603173</v>
      </c>
      <c r="S18" s="7">
        <f>AVERAGE(S4:S15)</f>
        <v>-5083.75</v>
      </c>
      <c r="T18" s="8">
        <f>AVERAGE(T4:T16)</f>
        <v>0.85070280823498357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A354-7791-1947-BC5F-D7AD2E89B5D6}">
  <sheetPr>
    <tabColor rgb="FFFFC000"/>
  </sheetPr>
  <dimension ref="A1:T18"/>
  <sheetViews>
    <sheetView zoomScale="55" zoomScaleNormal="100" workbookViewId="0">
      <selection activeCell="Q27" sqref="Q27"/>
    </sheetView>
  </sheetViews>
  <sheetFormatPr baseColWidth="10" defaultColWidth="9.83203125" defaultRowHeight="15" x14ac:dyDescent="0.2"/>
  <cols>
    <col min="1" max="1" width="19" style="2" bestFit="1" customWidth="1"/>
    <col min="2" max="2" width="23" style="2" bestFit="1" customWidth="1"/>
    <col min="3" max="3" width="12.6640625" style="2" bestFit="1" customWidth="1"/>
    <col min="4" max="4" width="13.6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664062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88</v>
      </c>
      <c r="B1" s="1" t="s">
        <v>87</v>
      </c>
      <c r="C1" s="1" t="s">
        <v>2</v>
      </c>
      <c r="D1" s="1" t="s">
        <v>53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89</v>
      </c>
      <c r="C4" s="9">
        <v>69</v>
      </c>
      <c r="D4" s="9">
        <v>3</v>
      </c>
      <c r="E4" s="10">
        <v>-39.5</v>
      </c>
      <c r="F4" s="2">
        <v>-112</v>
      </c>
      <c r="G4" s="4">
        <f>E4*(F4/-105)</f>
        <v>-42.133333333333333</v>
      </c>
      <c r="H4" s="4">
        <f>(C4-D4) + E4</f>
        <v>26.5</v>
      </c>
      <c r="I4" s="3">
        <v>57.5</v>
      </c>
      <c r="J4" s="4">
        <f>I4/2 - E4/2</f>
        <v>48.5</v>
      </c>
      <c r="K4" s="4">
        <f>C4-J4</f>
        <v>20.5</v>
      </c>
      <c r="L4" s="4">
        <f>I4/2 + E4/2</f>
        <v>9</v>
      </c>
      <c r="M4" s="4">
        <f>D4-L4</f>
        <v>-6</v>
      </c>
      <c r="N4" s="4">
        <f>(C4-D4) + G4</f>
        <v>23.866666666666667</v>
      </c>
      <c r="O4" s="4">
        <f>I4/2 - G4/2</f>
        <v>49.816666666666663</v>
      </c>
      <c r="P4" s="4">
        <f>C4-O4</f>
        <v>19.183333333333337</v>
      </c>
      <c r="Q4" s="4">
        <f>I4/2 + G4/2</f>
        <v>7.6833333333333336</v>
      </c>
      <c r="R4" s="4">
        <f>D4-Q4</f>
        <v>-4.6833333333333336</v>
      </c>
      <c r="S4" s="2">
        <v>-20000</v>
      </c>
      <c r="T4" s="11">
        <f t="shared" ref="T4:T15" si="0">IF(S4&gt;0,100/(100+S4),ABS(S4)/(100+ABS(S4)))</f>
        <v>0.99502487562189057</v>
      </c>
    </row>
    <row r="5" spans="1:20" x14ac:dyDescent="0.2">
      <c r="A5" s="2">
        <v>2</v>
      </c>
      <c r="B5" s="2" t="s">
        <v>90</v>
      </c>
      <c r="C5" s="9">
        <v>51</v>
      </c>
      <c r="D5" s="9">
        <v>10</v>
      </c>
      <c r="E5" s="10">
        <v>-8.5</v>
      </c>
      <c r="F5" s="2">
        <v>-100</v>
      </c>
      <c r="G5" s="4">
        <f t="shared" ref="G5:G15" si="1">E5*(F5/-105)</f>
        <v>-8.0952380952380949</v>
      </c>
      <c r="H5" s="4">
        <f>(C5-D5) + E5</f>
        <v>32.5</v>
      </c>
      <c r="I5" s="3">
        <v>59.5</v>
      </c>
      <c r="J5" s="4">
        <f>I5/2 - E5/2</f>
        <v>34</v>
      </c>
      <c r="K5" s="4">
        <f>C5-J5</f>
        <v>17</v>
      </c>
      <c r="L5" s="4">
        <f>I5/2 + E5/2</f>
        <v>25.5</v>
      </c>
      <c r="M5" s="4">
        <f>D5-L5</f>
        <v>-15.5</v>
      </c>
      <c r="N5" s="4">
        <f t="shared" ref="N5:N15" si="2">(C5-D5) + G5</f>
        <v>32.904761904761905</v>
      </c>
      <c r="O5" s="4">
        <f t="shared" ref="O5:O15" si="3">I5/2 - G5/2</f>
        <v>33.797619047619051</v>
      </c>
      <c r="P5" s="4">
        <f t="shared" ref="P5:P15" si="4">C5-O5</f>
        <v>17.202380952380949</v>
      </c>
      <c r="Q5" s="4">
        <f t="shared" ref="Q5:Q15" si="5">I5/2 + G5/2</f>
        <v>25.702380952380953</v>
      </c>
      <c r="R5" s="4">
        <f t="shared" ref="R5:R15" si="6">D5-Q5</f>
        <v>-15.702380952380953</v>
      </c>
      <c r="S5" s="2">
        <v>-346</v>
      </c>
      <c r="T5" s="11">
        <f t="shared" si="0"/>
        <v>0.77578475336322872</v>
      </c>
    </row>
    <row r="6" spans="1:20" x14ac:dyDescent="0.2">
      <c r="A6" s="2">
        <v>3</v>
      </c>
      <c r="B6" s="2" t="s">
        <v>14</v>
      </c>
      <c r="C6" s="9">
        <v>71</v>
      </c>
      <c r="D6" s="9">
        <v>0</v>
      </c>
      <c r="E6" s="3">
        <v>-49</v>
      </c>
      <c r="F6" s="2">
        <v>-112</v>
      </c>
      <c r="G6" s="4">
        <f t="shared" si="1"/>
        <v>-52.266666666666666</v>
      </c>
      <c r="H6" s="4">
        <f>(C6-D6) + E6</f>
        <v>22</v>
      </c>
      <c r="I6" s="3">
        <v>62</v>
      </c>
      <c r="J6" s="4">
        <f>I6/2 - E6/2</f>
        <v>55.5</v>
      </c>
      <c r="K6" s="4">
        <f>C6-J6</f>
        <v>15.5</v>
      </c>
      <c r="L6" s="4">
        <f>I6/2 + E6/2</f>
        <v>6.5</v>
      </c>
      <c r="M6" s="4">
        <f>D6-L6</f>
        <v>-6.5</v>
      </c>
      <c r="N6" s="4">
        <f t="shared" si="2"/>
        <v>18.733333333333334</v>
      </c>
      <c r="O6" s="4">
        <f t="shared" si="3"/>
        <v>57.133333333333333</v>
      </c>
      <c r="P6" s="4">
        <f t="shared" si="4"/>
        <v>13.866666666666667</v>
      </c>
      <c r="Q6" s="4">
        <f t="shared" si="5"/>
        <v>4.8666666666666671</v>
      </c>
      <c r="R6" s="4">
        <f t="shared" si="6"/>
        <v>-4.8666666666666671</v>
      </c>
      <c r="S6" s="2">
        <v>-200</v>
      </c>
      <c r="T6" s="11">
        <f t="shared" si="0"/>
        <v>0.66666666666666663</v>
      </c>
    </row>
    <row r="7" spans="1:20" x14ac:dyDescent="0.2">
      <c r="A7" s="2">
        <v>4</v>
      </c>
      <c r="B7" s="2" t="s">
        <v>71</v>
      </c>
      <c r="C7" s="9">
        <v>25</v>
      </c>
      <c r="D7" s="9">
        <v>15</v>
      </c>
      <c r="E7" s="10">
        <v>-5.5</v>
      </c>
      <c r="F7" s="2">
        <v>-113</v>
      </c>
      <c r="G7" s="4">
        <f t="shared" si="1"/>
        <v>-5.9190476190476184</v>
      </c>
      <c r="H7" s="4">
        <f>(C7-D7) + E7</f>
        <v>4.5</v>
      </c>
      <c r="I7" s="3">
        <v>56.5</v>
      </c>
      <c r="J7" s="4">
        <f>I7/2 - E7/2</f>
        <v>31</v>
      </c>
      <c r="K7" s="4">
        <f>C7-J7</f>
        <v>-6</v>
      </c>
      <c r="L7" s="4">
        <f>I7/2 + E7/2</f>
        <v>25.5</v>
      </c>
      <c r="M7" s="4">
        <f>D7-L7</f>
        <v>-10.5</v>
      </c>
      <c r="N7" s="4">
        <f t="shared" si="2"/>
        <v>4.0809523809523816</v>
      </c>
      <c r="O7" s="4">
        <f t="shared" si="3"/>
        <v>31.209523809523809</v>
      </c>
      <c r="P7" s="4">
        <f t="shared" si="4"/>
        <v>-6.2095238095238088</v>
      </c>
      <c r="Q7" s="4">
        <f t="shared" si="5"/>
        <v>25.290476190476191</v>
      </c>
      <c r="R7" s="4">
        <f t="shared" si="6"/>
        <v>-10.290476190476191</v>
      </c>
      <c r="S7" s="2">
        <v>-230</v>
      </c>
      <c r="T7" s="11">
        <f t="shared" si="0"/>
        <v>0.69696969696969702</v>
      </c>
    </row>
    <row r="8" spans="1:20" x14ac:dyDescent="0.2">
      <c r="A8" s="2">
        <v>5</v>
      </c>
      <c r="B8" s="2" t="s">
        <v>74</v>
      </c>
      <c r="C8" s="2">
        <v>14</v>
      </c>
      <c r="D8" s="2">
        <v>19</v>
      </c>
      <c r="E8" s="3">
        <v>-14</v>
      </c>
      <c r="F8" s="2">
        <v>-111</v>
      </c>
      <c r="G8" s="4">
        <f t="shared" si="1"/>
        <v>-14.8</v>
      </c>
      <c r="H8" s="4">
        <f>(C8-D8) + E8</f>
        <v>-19</v>
      </c>
      <c r="I8" s="3">
        <v>57.5</v>
      </c>
      <c r="J8" s="4">
        <f>I8/2 - E8/2</f>
        <v>35.75</v>
      </c>
      <c r="K8" s="4">
        <f>C8-J8</f>
        <v>-21.75</v>
      </c>
      <c r="L8" s="4">
        <f>I8/2 + E8/2</f>
        <v>21.75</v>
      </c>
      <c r="M8" s="4">
        <f>D8-L8</f>
        <v>-2.75</v>
      </c>
      <c r="N8" s="4">
        <f t="shared" si="2"/>
        <v>-19.8</v>
      </c>
      <c r="O8" s="4">
        <f t="shared" si="3"/>
        <v>36.15</v>
      </c>
      <c r="P8" s="4">
        <f t="shared" si="4"/>
        <v>-22.15</v>
      </c>
      <c r="Q8" s="4">
        <f t="shared" si="5"/>
        <v>21.35</v>
      </c>
      <c r="R8" s="4">
        <f t="shared" si="6"/>
        <v>-2.3500000000000014</v>
      </c>
      <c r="S8" s="2">
        <v>-569</v>
      </c>
      <c r="T8" s="11">
        <f t="shared" si="0"/>
        <v>0.85052316890881918</v>
      </c>
    </row>
    <row r="9" spans="1:20" x14ac:dyDescent="0.2">
      <c r="A9" s="2">
        <v>6</v>
      </c>
      <c r="B9" s="2" t="s">
        <v>47</v>
      </c>
      <c r="C9" s="9">
        <v>23</v>
      </c>
      <c r="D9" s="9">
        <v>17</v>
      </c>
      <c r="E9" s="3">
        <v>-14</v>
      </c>
      <c r="F9" s="2">
        <v>-111</v>
      </c>
      <c r="G9" s="4">
        <f t="shared" si="1"/>
        <v>-14.8</v>
      </c>
      <c r="H9" s="4">
        <f>(C9-D9) + E9</f>
        <v>-8</v>
      </c>
      <c r="I9" s="3">
        <v>55.5</v>
      </c>
      <c r="J9" s="4">
        <f>I9/2 - E9/2</f>
        <v>34.75</v>
      </c>
      <c r="K9" s="4">
        <f>C9-J9</f>
        <v>-11.75</v>
      </c>
      <c r="L9" s="4">
        <f>I9/2 + E9/2</f>
        <v>20.75</v>
      </c>
      <c r="M9" s="4">
        <f>D9-L9</f>
        <v>-3.75</v>
      </c>
      <c r="N9" s="4">
        <f t="shared" si="2"/>
        <v>-8.8000000000000007</v>
      </c>
      <c r="O9" s="4">
        <f t="shared" si="3"/>
        <v>35.15</v>
      </c>
      <c r="P9" s="4">
        <f t="shared" si="4"/>
        <v>-12.149999999999999</v>
      </c>
      <c r="Q9" s="4">
        <f t="shared" si="5"/>
        <v>20.350000000000001</v>
      </c>
      <c r="R9" s="4">
        <f t="shared" si="6"/>
        <v>-3.3500000000000014</v>
      </c>
      <c r="S9" s="2">
        <v>-632</v>
      </c>
      <c r="T9" s="11">
        <f t="shared" si="0"/>
        <v>0.86338797814207646</v>
      </c>
    </row>
    <row r="10" spans="1:20" x14ac:dyDescent="0.2">
      <c r="A10" s="2">
        <v>7</v>
      </c>
      <c r="B10" s="2" t="s">
        <v>43</v>
      </c>
      <c r="C10" s="9">
        <v>24</v>
      </c>
      <c r="D10" s="9">
        <v>17</v>
      </c>
      <c r="E10" s="10">
        <v>3.5</v>
      </c>
      <c r="F10" s="2">
        <v>-113</v>
      </c>
      <c r="G10" s="4">
        <f t="shared" si="1"/>
        <v>3.7666666666666666</v>
      </c>
      <c r="H10" s="4">
        <f>(C10-D10) + E10</f>
        <v>10.5</v>
      </c>
      <c r="I10" s="3">
        <v>57.5</v>
      </c>
      <c r="J10" s="4">
        <f>I10/2 - E10/2</f>
        <v>27</v>
      </c>
      <c r="K10" s="4">
        <f>C10-J10</f>
        <v>-3</v>
      </c>
      <c r="L10" s="4">
        <f>I10/2 + E10/2</f>
        <v>30.5</v>
      </c>
      <c r="M10" s="4">
        <f>D10-L10</f>
        <v>-13.5</v>
      </c>
      <c r="N10" s="4">
        <f t="shared" si="2"/>
        <v>10.766666666666666</v>
      </c>
      <c r="O10" s="4">
        <f t="shared" si="3"/>
        <v>26.866666666666667</v>
      </c>
      <c r="P10" s="4">
        <f t="shared" si="4"/>
        <v>-2.8666666666666671</v>
      </c>
      <c r="Q10" s="4">
        <f t="shared" si="5"/>
        <v>30.633333333333333</v>
      </c>
      <c r="R10" s="4">
        <f t="shared" si="6"/>
        <v>-13.633333333333333</v>
      </c>
      <c r="S10" s="2">
        <v>141</v>
      </c>
      <c r="T10" s="11">
        <f t="shared" si="0"/>
        <v>0.41493775933609961</v>
      </c>
    </row>
    <row r="11" spans="1:20" x14ac:dyDescent="0.2">
      <c r="A11" s="2">
        <v>8</v>
      </c>
      <c r="B11" s="2" t="s">
        <v>42</v>
      </c>
      <c r="C11" s="9">
        <v>28</v>
      </c>
      <c r="D11" s="9">
        <v>18</v>
      </c>
      <c r="E11" s="3">
        <v>-17.5</v>
      </c>
      <c r="F11" s="2">
        <v>-110</v>
      </c>
      <c r="G11" s="4">
        <f t="shared" si="1"/>
        <v>-18.333333333333336</v>
      </c>
      <c r="H11" s="4">
        <f>(C11-D11) + E11</f>
        <v>-7.5</v>
      </c>
      <c r="I11" s="3">
        <v>45.5</v>
      </c>
      <c r="J11" s="4">
        <f>I11/2 - E11/2</f>
        <v>31.5</v>
      </c>
      <c r="K11" s="4">
        <f>C11-J11</f>
        <v>-3.5</v>
      </c>
      <c r="L11" s="4">
        <f>I11/2 + E11/2</f>
        <v>14</v>
      </c>
      <c r="M11" s="4">
        <f>D11-L11</f>
        <v>4</v>
      </c>
      <c r="N11" s="4">
        <f t="shared" si="2"/>
        <v>-8.3333333333333357</v>
      </c>
      <c r="O11" s="4">
        <f t="shared" si="3"/>
        <v>31.916666666666668</v>
      </c>
      <c r="P11" s="4">
        <f t="shared" si="4"/>
        <v>-3.9166666666666679</v>
      </c>
      <c r="Q11" s="4">
        <f t="shared" si="5"/>
        <v>13.583333333333332</v>
      </c>
      <c r="R11" s="4">
        <f t="shared" si="6"/>
        <v>4.4166666666666679</v>
      </c>
      <c r="S11" s="2">
        <v>-1023</v>
      </c>
      <c r="T11" s="11">
        <f t="shared" si="0"/>
        <v>0.91095280498664288</v>
      </c>
    </row>
    <row r="12" spans="1:20" x14ac:dyDescent="0.2">
      <c r="A12" s="2">
        <v>9</v>
      </c>
      <c r="B12" s="2" t="s">
        <v>45</v>
      </c>
      <c r="C12" s="9">
        <v>33</v>
      </c>
      <c r="D12" s="9">
        <v>14</v>
      </c>
      <c r="E12" s="3">
        <v>-25.5</v>
      </c>
      <c r="F12" s="2">
        <v>-110</v>
      </c>
      <c r="G12" s="4">
        <f t="shared" si="1"/>
        <v>-26.714285714285715</v>
      </c>
      <c r="H12" s="4">
        <f>(C12-D12) + E12</f>
        <v>-6.5</v>
      </c>
      <c r="I12" s="3">
        <v>61.5</v>
      </c>
      <c r="J12" s="4">
        <f>I12/2 - E12/2</f>
        <v>43.5</v>
      </c>
      <c r="K12" s="4">
        <f>C12-J12</f>
        <v>-10.5</v>
      </c>
      <c r="L12" s="4">
        <f>I12/2 + E12/2</f>
        <v>18</v>
      </c>
      <c r="M12" s="4">
        <f>D12-L12</f>
        <v>-4</v>
      </c>
      <c r="N12" s="4">
        <f t="shared" si="2"/>
        <v>-7.7142857142857153</v>
      </c>
      <c r="O12" s="4">
        <f t="shared" si="3"/>
        <v>44.107142857142861</v>
      </c>
      <c r="P12" s="4">
        <f t="shared" si="4"/>
        <v>-11.107142857142861</v>
      </c>
      <c r="Q12" s="4">
        <f t="shared" si="5"/>
        <v>17.392857142857142</v>
      </c>
      <c r="R12" s="4">
        <f t="shared" si="6"/>
        <v>-3.3928571428571423</v>
      </c>
      <c r="S12" s="2">
        <v>-4212</v>
      </c>
      <c r="T12" s="11">
        <f t="shared" si="0"/>
        <v>0.97680890538033394</v>
      </c>
    </row>
    <row r="13" spans="1:20" x14ac:dyDescent="0.2">
      <c r="A13" s="2">
        <v>10</v>
      </c>
      <c r="B13" s="2" t="s">
        <v>72</v>
      </c>
      <c r="C13" s="2">
        <v>17</v>
      </c>
      <c r="D13" s="2">
        <v>31</v>
      </c>
      <c r="E13" s="3">
        <v>9</v>
      </c>
      <c r="F13" s="2">
        <v>-110</v>
      </c>
      <c r="G13" s="4">
        <f t="shared" si="1"/>
        <v>9.4285714285714288</v>
      </c>
      <c r="H13" s="4">
        <f>(C13-D13) + E13</f>
        <v>-5</v>
      </c>
      <c r="I13" s="3">
        <v>46.5</v>
      </c>
      <c r="J13" s="4">
        <f>I13/2 - E13/2</f>
        <v>18.75</v>
      </c>
      <c r="K13" s="4">
        <f>C13-J13</f>
        <v>-1.75</v>
      </c>
      <c r="L13" s="4">
        <f>I13/2 + E13/2</f>
        <v>27.75</v>
      </c>
      <c r="M13" s="4">
        <f>D13-L13</f>
        <v>3.25</v>
      </c>
      <c r="N13" s="4">
        <f t="shared" si="2"/>
        <v>-4.5714285714285712</v>
      </c>
      <c r="O13" s="4">
        <f t="shared" si="3"/>
        <v>18.535714285714285</v>
      </c>
      <c r="P13" s="4">
        <f t="shared" si="4"/>
        <v>-1.5357142857142847</v>
      </c>
      <c r="Q13" s="4">
        <f t="shared" si="5"/>
        <v>27.964285714285715</v>
      </c>
      <c r="R13" s="4">
        <f t="shared" si="6"/>
        <v>3.0357142857142847</v>
      </c>
      <c r="S13" s="2">
        <v>264</v>
      </c>
      <c r="T13" s="11">
        <f t="shared" si="0"/>
        <v>0.27472527472527475</v>
      </c>
    </row>
    <row r="14" spans="1:20" x14ac:dyDescent="0.2">
      <c r="A14" s="2">
        <v>11</v>
      </c>
      <c r="B14" s="2" t="s">
        <v>91</v>
      </c>
      <c r="C14" s="9">
        <v>56</v>
      </c>
      <c r="D14" s="9">
        <v>0</v>
      </c>
      <c r="E14" s="3">
        <v>-41.5</v>
      </c>
      <c r="F14" s="2">
        <v>-110</v>
      </c>
      <c r="G14" s="4">
        <f t="shared" si="1"/>
        <v>-43.476190476190482</v>
      </c>
      <c r="H14" s="4">
        <f>(C14-D14) + E14</f>
        <v>14.5</v>
      </c>
      <c r="I14" s="3">
        <v>53.5</v>
      </c>
      <c r="J14" s="4">
        <f>I14/2 - E14/2</f>
        <v>47.5</v>
      </c>
      <c r="K14" s="4">
        <f>C14-J14</f>
        <v>8.5</v>
      </c>
      <c r="L14" s="4">
        <f>I14/2 + E14/2</f>
        <v>6</v>
      </c>
      <c r="M14" s="4">
        <f>D14-L14</f>
        <v>-6</v>
      </c>
      <c r="N14" s="4">
        <f t="shared" si="2"/>
        <v>12.523809523809518</v>
      </c>
      <c r="O14" s="4">
        <f t="shared" si="3"/>
        <v>48.488095238095241</v>
      </c>
      <c r="P14" s="4">
        <f t="shared" si="4"/>
        <v>7.5119047619047592</v>
      </c>
      <c r="Q14" s="4">
        <f t="shared" si="5"/>
        <v>5.0119047619047592</v>
      </c>
      <c r="R14" s="4">
        <f t="shared" si="6"/>
        <v>-5.0119047619047592</v>
      </c>
      <c r="S14" s="2">
        <v>-200</v>
      </c>
      <c r="T14" s="11">
        <f t="shared" si="0"/>
        <v>0.66666666666666663</v>
      </c>
    </row>
    <row r="15" spans="1:20" ht="17" customHeight="1" x14ac:dyDescent="0.2">
      <c r="A15" s="2">
        <v>12</v>
      </c>
      <c r="B15" s="2" t="s">
        <v>73</v>
      </c>
      <c r="C15" s="9">
        <v>36</v>
      </c>
      <c r="D15" s="9">
        <v>23</v>
      </c>
      <c r="E15" s="10">
        <v>-10</v>
      </c>
      <c r="F15" s="2">
        <v>-106</v>
      </c>
      <c r="G15" s="4">
        <f t="shared" si="1"/>
        <v>-10.095238095238095</v>
      </c>
      <c r="H15" s="4">
        <f>(C15-D15) + E15</f>
        <v>3</v>
      </c>
      <c r="I15" s="3">
        <v>47</v>
      </c>
      <c r="J15" s="4">
        <f>I15/2 - E15/2</f>
        <v>28.5</v>
      </c>
      <c r="K15" s="4">
        <f>C15-J15</f>
        <v>7.5</v>
      </c>
      <c r="L15" s="4">
        <f>I15/2 + E15/2</f>
        <v>18.5</v>
      </c>
      <c r="M15" s="4">
        <f>D15-L15</f>
        <v>4.5</v>
      </c>
      <c r="N15" s="4">
        <f t="shared" si="2"/>
        <v>2.9047619047619051</v>
      </c>
      <c r="O15" s="4">
        <f t="shared" si="3"/>
        <v>28.547619047619047</v>
      </c>
      <c r="P15" s="4">
        <f t="shared" si="4"/>
        <v>7.4523809523809526</v>
      </c>
      <c r="Q15" s="4">
        <f t="shared" si="5"/>
        <v>18.452380952380953</v>
      </c>
      <c r="R15" s="4">
        <f t="shared" si="6"/>
        <v>4.5476190476190474</v>
      </c>
      <c r="S15" s="2">
        <v>-378</v>
      </c>
      <c r="T15" s="11">
        <f t="shared" si="0"/>
        <v>0.79079497907949792</v>
      </c>
    </row>
    <row r="17" spans="1:20" s="4" customFormat="1" x14ac:dyDescent="0.2">
      <c r="A17" s="5" t="s">
        <v>25</v>
      </c>
      <c r="C17" s="4">
        <f>SUM(C4:C15)</f>
        <v>447</v>
      </c>
      <c r="D17" s="4">
        <f>SUM(D4:D15)</f>
        <v>167</v>
      </c>
      <c r="E17" s="4">
        <f t="shared" ref="E17:F17" si="7">SUM(E4:E15)</f>
        <v>-212.5</v>
      </c>
      <c r="F17" s="4">
        <f t="shared" si="7"/>
        <v>-1318</v>
      </c>
      <c r="G17" s="4">
        <f>SUM(G4:G15)</f>
        <v>-223.43809523809526</v>
      </c>
      <c r="H17" s="4">
        <f>SUM(H4:H15)</f>
        <v>67.5</v>
      </c>
      <c r="I17" s="4">
        <f>SUM(I4:I15)</f>
        <v>660</v>
      </c>
      <c r="J17" s="4">
        <f>SUM(J4:J15)</f>
        <v>436.25</v>
      </c>
      <c r="K17" s="4">
        <f>SUM(K4:K15)</f>
        <v>10.75</v>
      </c>
      <c r="L17" s="4">
        <f>SUM(L4:L15)</f>
        <v>223.75</v>
      </c>
      <c r="M17" s="4">
        <f>SUM(M3:M15)</f>
        <v>-56.75</v>
      </c>
      <c r="N17" s="4">
        <f>SUM(N3:N15)</f>
        <v>56.561904761904763</v>
      </c>
      <c r="O17" s="4">
        <f>SUM(O3:O15)</f>
        <v>441.71904761904761</v>
      </c>
      <c r="P17" s="4">
        <f>SUM(P3:P15)</f>
        <v>5.2809523809523782</v>
      </c>
      <c r="Q17" s="4">
        <f>SUM(Q3:Q15)</f>
        <v>218.28095238095239</v>
      </c>
      <c r="R17" s="4">
        <f>SUM(R3:R15)</f>
        <v>-51.280952380952385</v>
      </c>
    </row>
    <row r="18" spans="1:20" s="7" customFormat="1" x14ac:dyDescent="0.2">
      <c r="A18" s="6" t="s">
        <v>26</v>
      </c>
      <c r="C18" s="7">
        <f>AVERAGE(C4:C15)</f>
        <v>37.25</v>
      </c>
      <c r="D18" s="7">
        <f>AVERAGE(D4:D15)</f>
        <v>13.916666666666666</v>
      </c>
      <c r="E18" s="7">
        <f>AVERAGE(E4:E15)</f>
        <v>-17.708333333333332</v>
      </c>
      <c r="F18" s="7">
        <f>AVERAGE(F4:F15)</f>
        <v>-109.83333333333333</v>
      </c>
      <c r="G18" s="4">
        <f>AVERAGE(G4:G15)</f>
        <v>-18.61984126984127</v>
      </c>
      <c r="H18" s="7">
        <f>AVERAGE(H4:H15)</f>
        <v>5.625</v>
      </c>
      <c r="I18" s="7">
        <f>AVERAGE(I4:I15)</f>
        <v>55</v>
      </c>
      <c r="J18" s="7">
        <f>AVERAGE(J4:J15)</f>
        <v>36.354166666666664</v>
      </c>
      <c r="K18" s="7">
        <f>AVERAGE(K4:K15)</f>
        <v>0.89583333333333337</v>
      </c>
      <c r="L18" s="7">
        <f>AVERAGE(L4:L15)</f>
        <v>18.645833333333332</v>
      </c>
      <c r="M18" s="7">
        <f>AVERAGE(M4:M15)</f>
        <v>-4.729166666666667</v>
      </c>
      <c r="N18" s="7">
        <f>AVERAGE(N4:N15)</f>
        <v>4.7134920634920636</v>
      </c>
      <c r="O18" s="7">
        <f>AVERAGE(O4:O15)</f>
        <v>36.809920634920637</v>
      </c>
      <c r="P18" s="7">
        <f>AVERAGE(P4:P15)</f>
        <v>0.44007936507936485</v>
      </c>
      <c r="Q18" s="7">
        <f>AVERAGE(Q4:Q15)</f>
        <v>18.190079365079367</v>
      </c>
      <c r="R18" s="7">
        <f>AVERAGE(R4:R15)</f>
        <v>-4.2734126984126988</v>
      </c>
      <c r="S18" s="7">
        <f>AVERAGE(S4:S15)</f>
        <v>-2282.0833333333335</v>
      </c>
      <c r="T18" s="8">
        <f>AVERAGE(T4:T16)</f>
        <v>0.74027029415390799</v>
      </c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241A-98E5-7D45-8B0D-A55BF20D5E5E}">
  <sheetPr>
    <tabColor rgb="FF0070C0"/>
  </sheetPr>
  <dimension ref="A1:T46"/>
  <sheetViews>
    <sheetView zoomScale="50" zoomScaleNormal="100" workbookViewId="0">
      <selection activeCell="P27" sqref="P27"/>
    </sheetView>
  </sheetViews>
  <sheetFormatPr baseColWidth="10" defaultColWidth="9.83203125" defaultRowHeight="15" x14ac:dyDescent="0.2"/>
  <cols>
    <col min="1" max="1" width="25.83203125" style="2" bestFit="1" customWidth="1"/>
    <col min="2" max="2" width="25" style="2" bestFit="1" customWidth="1"/>
    <col min="3" max="3" width="13.1640625" style="2" bestFit="1" customWidth="1"/>
    <col min="4" max="4" width="24.1640625" style="2" bestFit="1" customWidth="1"/>
    <col min="5" max="5" width="16.83203125" style="2" bestFit="1" customWidth="1"/>
    <col min="6" max="6" width="15.83203125" style="2" bestFit="1" customWidth="1"/>
    <col min="7" max="7" width="14.6640625" style="2" bestFit="1" customWidth="1"/>
    <col min="8" max="8" width="34.33203125" style="2" bestFit="1" customWidth="1"/>
    <col min="9" max="9" width="8.83203125" style="2" bestFit="1" customWidth="1"/>
    <col min="10" max="10" width="23.6640625" style="2" bestFit="1" customWidth="1"/>
    <col min="11" max="11" width="31.83203125" style="2" bestFit="1" customWidth="1"/>
    <col min="12" max="12" width="24.1640625" style="2" bestFit="1" customWidth="1"/>
    <col min="13" max="13" width="36.1640625" style="2" bestFit="1" customWidth="1"/>
    <col min="14" max="14" width="31.83203125" style="2" bestFit="1" customWidth="1"/>
    <col min="15" max="15" width="21.33203125" style="2" bestFit="1" customWidth="1"/>
    <col min="16" max="16" width="29.83203125" style="2" bestFit="1" customWidth="1"/>
    <col min="17" max="17" width="21.83203125" style="2" bestFit="1" customWidth="1"/>
    <col min="18" max="18" width="34" style="2" bestFit="1" customWidth="1"/>
    <col min="19" max="19" width="18.5" style="2" bestFit="1" customWidth="1"/>
    <col min="20" max="20" width="19.6640625" style="2" bestFit="1" customWidth="1"/>
    <col min="21" max="16384" width="9.83203125" style="2"/>
  </cols>
  <sheetData>
    <row r="1" spans="1:20" x14ac:dyDescent="0.2">
      <c r="A1" s="1" t="s">
        <v>92</v>
      </c>
      <c r="B1" s="1" t="s">
        <v>93</v>
      </c>
      <c r="C1" s="1" t="s">
        <v>2</v>
      </c>
      <c r="D1" s="1" t="s">
        <v>94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95</v>
      </c>
      <c r="C4" s="9">
        <v>56</v>
      </c>
      <c r="D4" s="9">
        <v>45</v>
      </c>
      <c r="E4" s="3">
        <v>-13</v>
      </c>
      <c r="F4" s="2">
        <v>-110</v>
      </c>
      <c r="G4" s="4">
        <f>E4*(F4/-105)</f>
        <v>-13.61904761904762</v>
      </c>
      <c r="H4" s="4">
        <f>(C4-D4) + E4</f>
        <v>-2</v>
      </c>
      <c r="I4" s="3">
        <v>57</v>
      </c>
      <c r="J4" s="4">
        <f>I4/2 - E4/2</f>
        <v>35</v>
      </c>
      <c r="K4" s="4">
        <f>C4-J4</f>
        <v>21</v>
      </c>
      <c r="L4" s="4">
        <f>I4/2 + E4/2</f>
        <v>22</v>
      </c>
      <c r="M4" s="4">
        <f>D4-L4</f>
        <v>23</v>
      </c>
      <c r="N4" s="4">
        <f>(C4-D4) + G4</f>
        <v>-2.6190476190476204</v>
      </c>
      <c r="O4" s="4">
        <f>I4/2 - G4/2</f>
        <v>35.30952380952381</v>
      </c>
      <c r="P4" s="4">
        <f>C4-O4</f>
        <v>20.69047619047619</v>
      </c>
      <c r="Q4" s="4">
        <f>I4/2 + G4/2</f>
        <v>21.69047619047619</v>
      </c>
      <c r="R4" s="4">
        <f>D4-Q4</f>
        <v>23.30952380952381</v>
      </c>
      <c r="S4" s="2">
        <v>-532</v>
      </c>
      <c r="T4" s="11">
        <f t="shared" ref="T4:T16" si="0">IF(S4&gt;0,100/(100+S4),ABS(S4)/(100+ABS(S4)))</f>
        <v>0.84177215189873422</v>
      </c>
    </row>
    <row r="5" spans="1:20" x14ac:dyDescent="0.2">
      <c r="A5" s="2">
        <v>2</v>
      </c>
      <c r="B5" s="2" t="s">
        <v>24</v>
      </c>
      <c r="C5" s="2">
        <v>34</v>
      </c>
      <c r="D5" s="2">
        <v>37</v>
      </c>
      <c r="E5" s="10">
        <v>17.5</v>
      </c>
      <c r="F5" s="2">
        <v>-111</v>
      </c>
      <c r="G5" s="4">
        <f t="shared" ref="G5:G16" si="1">E5*(F5/-105)</f>
        <v>18.5</v>
      </c>
      <c r="H5" s="4">
        <f>(C5-D5) + E5</f>
        <v>14.5</v>
      </c>
      <c r="I5" s="3">
        <v>61.5</v>
      </c>
      <c r="J5" s="4">
        <f>I5/2 - E5/2</f>
        <v>22</v>
      </c>
      <c r="K5" s="4">
        <f>C5-J5</f>
        <v>12</v>
      </c>
      <c r="L5" s="4">
        <f>I5/2 + E5/2</f>
        <v>39.5</v>
      </c>
      <c r="M5" s="4">
        <f>D5-L5</f>
        <v>-2.5</v>
      </c>
      <c r="N5" s="4">
        <f t="shared" ref="N5:N16" si="2">(C5-D5) + G5</f>
        <v>15.5</v>
      </c>
      <c r="O5" s="4">
        <f t="shared" ref="O5:O16" si="3">I5/2 - G5/2</f>
        <v>21.5</v>
      </c>
      <c r="P5" s="4">
        <f t="shared" ref="P5:P16" si="4">C5-O5</f>
        <v>12.5</v>
      </c>
      <c r="Q5" s="4">
        <f t="shared" ref="Q5:Q16" si="5">I5/2 + G5/2</f>
        <v>40</v>
      </c>
      <c r="R5" s="4">
        <f t="shared" ref="R5:R16" si="6">D5-Q5</f>
        <v>-3</v>
      </c>
      <c r="S5" s="2">
        <v>612</v>
      </c>
      <c r="T5" s="11">
        <f t="shared" si="0"/>
        <v>0.1404494382022472</v>
      </c>
    </row>
    <row r="6" spans="1:20" x14ac:dyDescent="0.2">
      <c r="A6" s="2">
        <v>3</v>
      </c>
      <c r="B6" s="2" t="s">
        <v>96</v>
      </c>
      <c r="C6" s="9">
        <v>56</v>
      </c>
      <c r="D6" s="9">
        <v>14</v>
      </c>
      <c r="E6" s="3">
        <v>-42.5</v>
      </c>
      <c r="F6" s="2">
        <v>-109</v>
      </c>
      <c r="G6" s="4">
        <f t="shared" si="1"/>
        <v>-44.11904761904762</v>
      </c>
      <c r="H6" s="4">
        <f>(C6-D6) + E6</f>
        <v>-0.5</v>
      </c>
      <c r="I6" s="3">
        <v>69.5</v>
      </c>
      <c r="J6" s="4">
        <f>I6/2 - E6/2</f>
        <v>56</v>
      </c>
      <c r="K6" s="4">
        <f>C6-J6</f>
        <v>0</v>
      </c>
      <c r="L6" s="4">
        <f>I6/2 + E6/2</f>
        <v>13.5</v>
      </c>
      <c r="M6" s="4">
        <f>D6-L6</f>
        <v>0.5</v>
      </c>
      <c r="N6" s="4">
        <f t="shared" si="2"/>
        <v>-2.1190476190476204</v>
      </c>
      <c r="O6" s="4">
        <f t="shared" si="3"/>
        <v>56.80952380952381</v>
      </c>
      <c r="P6" s="4">
        <f t="shared" si="4"/>
        <v>-0.8095238095238102</v>
      </c>
      <c r="Q6" s="4">
        <f t="shared" si="5"/>
        <v>12.69047619047619</v>
      </c>
      <c r="R6" s="4">
        <f t="shared" si="6"/>
        <v>1.3095238095238102</v>
      </c>
      <c r="S6" s="2">
        <v>-20000</v>
      </c>
      <c r="T6" s="11">
        <f t="shared" si="0"/>
        <v>0.99502487562189057</v>
      </c>
    </row>
    <row r="7" spans="1:20" x14ac:dyDescent="0.2">
      <c r="A7" s="2">
        <v>4</v>
      </c>
      <c r="B7" s="2" t="s">
        <v>97</v>
      </c>
      <c r="C7" s="9">
        <v>45</v>
      </c>
      <c r="D7" s="9">
        <v>24</v>
      </c>
      <c r="E7" s="10">
        <v>-6.5</v>
      </c>
      <c r="F7" s="2">
        <v>-112</v>
      </c>
      <c r="G7" s="4">
        <f t="shared" si="1"/>
        <v>-6.9333333333333336</v>
      </c>
      <c r="H7" s="4">
        <f>(C7-D7) + E7</f>
        <v>14.5</v>
      </c>
      <c r="I7" s="3">
        <v>66</v>
      </c>
      <c r="J7" s="4">
        <f>I7/2 - E7/2</f>
        <v>36.25</v>
      </c>
      <c r="K7" s="4">
        <f>C7-J7</f>
        <v>8.75</v>
      </c>
      <c r="L7" s="4">
        <f>I7/2 + E7/2</f>
        <v>29.75</v>
      </c>
      <c r="M7" s="4">
        <f>D7-L7</f>
        <v>-5.75</v>
      </c>
      <c r="N7" s="4">
        <f t="shared" si="2"/>
        <v>14.066666666666666</v>
      </c>
      <c r="O7" s="4">
        <f t="shared" si="3"/>
        <v>36.466666666666669</v>
      </c>
      <c r="P7" s="4">
        <f t="shared" si="4"/>
        <v>8.5333333333333314</v>
      </c>
      <c r="Q7" s="4">
        <f t="shared" si="5"/>
        <v>29.533333333333331</v>
      </c>
      <c r="R7" s="4">
        <f t="shared" si="6"/>
        <v>-5.5333333333333314</v>
      </c>
      <c r="S7" s="2">
        <v>-234</v>
      </c>
      <c r="T7" s="11">
        <f t="shared" si="0"/>
        <v>0.70059880239520955</v>
      </c>
    </row>
    <row r="8" spans="1:20" x14ac:dyDescent="0.2">
      <c r="A8" s="2">
        <v>5</v>
      </c>
      <c r="B8" s="2" t="s">
        <v>98</v>
      </c>
      <c r="C8" s="9">
        <v>62</v>
      </c>
      <c r="D8" s="9">
        <v>30</v>
      </c>
      <c r="E8" s="10">
        <v>-28</v>
      </c>
      <c r="F8" s="2">
        <v>-111</v>
      </c>
      <c r="G8" s="4">
        <f t="shared" si="1"/>
        <v>-29.6</v>
      </c>
      <c r="H8" s="4">
        <f>(C8-D8) + E8</f>
        <v>4</v>
      </c>
      <c r="I8" s="3">
        <v>66.5</v>
      </c>
      <c r="J8" s="4">
        <f>I8/2 - E8/2</f>
        <v>47.25</v>
      </c>
      <c r="K8" s="4">
        <f>C8-J8</f>
        <v>14.75</v>
      </c>
      <c r="L8" s="4">
        <f>I8/2 + E8/2</f>
        <v>19.25</v>
      </c>
      <c r="M8" s="4">
        <f>D8-L8</f>
        <v>10.75</v>
      </c>
      <c r="N8" s="4">
        <f t="shared" si="2"/>
        <v>2.3999999999999986</v>
      </c>
      <c r="O8" s="4">
        <f t="shared" si="3"/>
        <v>48.05</v>
      </c>
      <c r="P8" s="4">
        <f t="shared" si="4"/>
        <v>13.950000000000003</v>
      </c>
      <c r="Q8" s="4">
        <f t="shared" si="5"/>
        <v>18.45</v>
      </c>
      <c r="R8" s="4">
        <f t="shared" si="6"/>
        <v>11.55</v>
      </c>
      <c r="S8" s="2">
        <v>-5927</v>
      </c>
      <c r="T8" s="11">
        <f t="shared" si="0"/>
        <v>0.98340799734527962</v>
      </c>
    </row>
    <row r="9" spans="1:20" x14ac:dyDescent="0.2">
      <c r="A9" s="2">
        <v>6</v>
      </c>
      <c r="B9" s="2" t="s">
        <v>99</v>
      </c>
      <c r="C9" s="9">
        <v>28</v>
      </c>
      <c r="D9" s="9">
        <v>7</v>
      </c>
      <c r="E9" s="3">
        <v>-21</v>
      </c>
      <c r="F9" s="2">
        <v>-111</v>
      </c>
      <c r="G9" s="4">
        <f t="shared" si="1"/>
        <v>-22.2</v>
      </c>
      <c r="H9" s="4">
        <f>(C9-D9) + E9</f>
        <v>0</v>
      </c>
      <c r="I9" s="3">
        <v>60</v>
      </c>
      <c r="J9" s="4">
        <f>I9/2 - E9/2</f>
        <v>40.5</v>
      </c>
      <c r="K9" s="4">
        <f>C9-J9</f>
        <v>-12.5</v>
      </c>
      <c r="L9" s="4">
        <f>I9/2 + E9/2</f>
        <v>19.5</v>
      </c>
      <c r="M9" s="4">
        <f>D9-L9</f>
        <v>-12.5</v>
      </c>
      <c r="N9" s="4">
        <f t="shared" si="2"/>
        <v>-1.1999999999999993</v>
      </c>
      <c r="O9" s="4">
        <f t="shared" si="3"/>
        <v>41.1</v>
      </c>
      <c r="P9" s="4">
        <f t="shared" si="4"/>
        <v>-13.100000000000001</v>
      </c>
      <c r="Q9" s="4">
        <f t="shared" si="5"/>
        <v>18.899999999999999</v>
      </c>
      <c r="R9" s="4">
        <f t="shared" si="6"/>
        <v>-11.899999999999999</v>
      </c>
      <c r="S9" s="2">
        <v>-1508</v>
      </c>
      <c r="T9" s="11">
        <f t="shared" si="0"/>
        <v>0.93781094527363185</v>
      </c>
    </row>
    <row r="10" spans="1:20" x14ac:dyDescent="0.2">
      <c r="A10" s="2">
        <v>7</v>
      </c>
      <c r="B10" s="2" t="s">
        <v>100</v>
      </c>
      <c r="C10" s="9">
        <v>29</v>
      </c>
      <c r="D10" s="9">
        <v>24</v>
      </c>
      <c r="E10" s="10">
        <v>-4</v>
      </c>
      <c r="F10" s="2">
        <v>-112</v>
      </c>
      <c r="G10" s="4">
        <f t="shared" si="1"/>
        <v>-4.2666666666666666</v>
      </c>
      <c r="H10" s="4">
        <f>(C10-D10) + E10</f>
        <v>1</v>
      </c>
      <c r="I10" s="3">
        <v>64</v>
      </c>
      <c r="J10" s="4">
        <f>I10/2 - E10/2</f>
        <v>34</v>
      </c>
      <c r="K10" s="4">
        <f>C10-J10</f>
        <v>-5</v>
      </c>
      <c r="L10" s="4">
        <f>I10/2 + E10/2</f>
        <v>30</v>
      </c>
      <c r="M10" s="4">
        <f>D10-L10</f>
        <v>-6</v>
      </c>
      <c r="N10" s="4">
        <f t="shared" si="2"/>
        <v>0.73333333333333339</v>
      </c>
      <c r="O10" s="4">
        <f t="shared" si="3"/>
        <v>34.133333333333333</v>
      </c>
      <c r="P10" s="4">
        <f t="shared" si="4"/>
        <v>-5.1333333333333329</v>
      </c>
      <c r="Q10" s="4">
        <f t="shared" si="5"/>
        <v>29.866666666666667</v>
      </c>
      <c r="R10" s="4">
        <f t="shared" si="6"/>
        <v>-5.8666666666666671</v>
      </c>
      <c r="S10" s="2">
        <v>-197</v>
      </c>
      <c r="T10" s="11">
        <f t="shared" si="0"/>
        <v>0.66329966329966328</v>
      </c>
    </row>
    <row r="11" spans="1:20" x14ac:dyDescent="0.2">
      <c r="A11" s="2">
        <v>8</v>
      </c>
      <c r="B11" s="2" t="s">
        <v>101</v>
      </c>
      <c r="C11" s="9">
        <v>56</v>
      </c>
      <c r="D11" s="9">
        <v>24</v>
      </c>
      <c r="E11" s="10">
        <v>-24.5</v>
      </c>
      <c r="F11" s="2">
        <v>-111</v>
      </c>
      <c r="G11" s="4">
        <f t="shared" si="1"/>
        <v>-25.900000000000002</v>
      </c>
      <c r="H11" s="4">
        <f>(C11-D11) + E11</f>
        <v>7.5</v>
      </c>
      <c r="I11" s="3">
        <v>55.5</v>
      </c>
      <c r="J11" s="4">
        <f>I11/2 - E11/2</f>
        <v>40</v>
      </c>
      <c r="K11" s="4">
        <f>C11-J11</f>
        <v>16</v>
      </c>
      <c r="L11" s="4">
        <f>I11/2 + E11/2</f>
        <v>15.5</v>
      </c>
      <c r="M11" s="4">
        <f>D11-L11</f>
        <v>8.5</v>
      </c>
      <c r="N11" s="4">
        <f t="shared" si="2"/>
        <v>6.0999999999999979</v>
      </c>
      <c r="O11" s="4">
        <f t="shared" si="3"/>
        <v>40.700000000000003</v>
      </c>
      <c r="P11" s="4">
        <f t="shared" si="4"/>
        <v>15.299999999999997</v>
      </c>
      <c r="Q11" s="4">
        <f t="shared" si="5"/>
        <v>14.799999999999999</v>
      </c>
      <c r="R11" s="4">
        <f t="shared" si="6"/>
        <v>9.2000000000000011</v>
      </c>
      <c r="S11" s="2">
        <v>-3786</v>
      </c>
      <c r="T11" s="11">
        <f t="shared" si="0"/>
        <v>0.97426659804426141</v>
      </c>
    </row>
    <row r="12" spans="1:20" x14ac:dyDescent="0.2">
      <c r="A12" s="2">
        <v>9</v>
      </c>
      <c r="B12" s="2" t="s">
        <v>102</v>
      </c>
      <c r="C12" s="9">
        <v>28</v>
      </c>
      <c r="D12" s="9">
        <v>21</v>
      </c>
      <c r="E12" s="3">
        <v>-23.5</v>
      </c>
      <c r="F12" s="2">
        <v>-112</v>
      </c>
      <c r="G12" s="4">
        <f t="shared" si="1"/>
        <v>-25.066666666666666</v>
      </c>
      <c r="H12" s="4">
        <f>(C12-D12) + E12</f>
        <v>-16.5</v>
      </c>
      <c r="I12" s="3">
        <v>61.5</v>
      </c>
      <c r="J12" s="4">
        <f>I12/2 - E12/2</f>
        <v>42.5</v>
      </c>
      <c r="K12" s="4">
        <f>C12-J12</f>
        <v>-14.5</v>
      </c>
      <c r="L12" s="4">
        <f>I12/2 + E12/2</f>
        <v>19</v>
      </c>
      <c r="M12" s="4">
        <f>D12-L12</f>
        <v>2</v>
      </c>
      <c r="N12" s="4">
        <f t="shared" si="2"/>
        <v>-18.066666666666666</v>
      </c>
      <c r="O12" s="4">
        <f t="shared" si="3"/>
        <v>43.283333333333331</v>
      </c>
      <c r="P12" s="4">
        <f t="shared" si="4"/>
        <v>-15.283333333333331</v>
      </c>
      <c r="Q12" s="4">
        <f t="shared" si="5"/>
        <v>18.216666666666669</v>
      </c>
      <c r="R12" s="4">
        <f t="shared" si="6"/>
        <v>2.7833333333333314</v>
      </c>
      <c r="S12" s="2">
        <v>-2412</v>
      </c>
      <c r="T12" s="11">
        <f t="shared" si="0"/>
        <v>0.96019108280254772</v>
      </c>
    </row>
    <row r="13" spans="1:20" x14ac:dyDescent="0.2">
      <c r="A13" s="2">
        <v>10</v>
      </c>
      <c r="B13" s="2" t="s">
        <v>103</v>
      </c>
      <c r="C13" s="9">
        <v>42</v>
      </c>
      <c r="D13" s="9">
        <v>21</v>
      </c>
      <c r="E13" s="10">
        <v>-14</v>
      </c>
      <c r="F13" s="2">
        <v>-111</v>
      </c>
      <c r="G13" s="4">
        <f t="shared" si="1"/>
        <v>-14.8</v>
      </c>
      <c r="H13" s="4">
        <f>(C13-D13) + E13</f>
        <v>7</v>
      </c>
      <c r="I13" s="3">
        <v>62</v>
      </c>
      <c r="J13" s="4">
        <f>I13/2 - E13/2</f>
        <v>38</v>
      </c>
      <c r="K13" s="4">
        <f>C13-J13</f>
        <v>4</v>
      </c>
      <c r="L13" s="4">
        <f>I13/2 + E13/2</f>
        <v>24</v>
      </c>
      <c r="M13" s="4">
        <f>D13-L13</f>
        <v>-3</v>
      </c>
      <c r="N13" s="4">
        <f t="shared" si="2"/>
        <v>6.1999999999999993</v>
      </c>
      <c r="O13" s="4">
        <f t="shared" si="3"/>
        <v>38.4</v>
      </c>
      <c r="P13" s="4">
        <f t="shared" si="4"/>
        <v>3.6000000000000014</v>
      </c>
      <c r="Q13" s="4">
        <f t="shared" si="5"/>
        <v>23.6</v>
      </c>
      <c r="R13" s="4">
        <f t="shared" si="6"/>
        <v>-2.6000000000000014</v>
      </c>
      <c r="S13" s="2">
        <v>-604</v>
      </c>
      <c r="T13" s="11">
        <f t="shared" si="0"/>
        <v>0.85795454545454541</v>
      </c>
    </row>
    <row r="14" spans="1:20" x14ac:dyDescent="0.2">
      <c r="A14" s="2">
        <v>11</v>
      </c>
      <c r="B14" s="2" t="s">
        <v>104</v>
      </c>
      <c r="C14" s="9">
        <v>17</v>
      </c>
      <c r="D14" s="9">
        <v>13</v>
      </c>
      <c r="E14" s="3">
        <v>-22.5</v>
      </c>
      <c r="F14" s="2">
        <v>-108</v>
      </c>
      <c r="G14" s="4">
        <f t="shared" si="1"/>
        <v>-23.142857142857139</v>
      </c>
      <c r="H14" s="4">
        <f>(C14-D14) + E14</f>
        <v>-18.5</v>
      </c>
      <c r="I14" s="3">
        <v>54.5</v>
      </c>
      <c r="J14" s="4">
        <f>I14/2 - E14/2</f>
        <v>38.5</v>
      </c>
      <c r="K14" s="4">
        <f>C14-J14</f>
        <v>-21.5</v>
      </c>
      <c r="L14" s="4">
        <f>I14/2 + E14/2</f>
        <v>16</v>
      </c>
      <c r="M14" s="4">
        <f>D14-L14</f>
        <v>-3</v>
      </c>
      <c r="N14" s="4">
        <f t="shared" si="2"/>
        <v>-19.142857142857139</v>
      </c>
      <c r="O14" s="4">
        <f t="shared" si="3"/>
        <v>38.821428571428569</v>
      </c>
      <c r="P14" s="4">
        <f t="shared" si="4"/>
        <v>-21.821428571428569</v>
      </c>
      <c r="Q14" s="4">
        <f t="shared" si="5"/>
        <v>15.678571428571431</v>
      </c>
      <c r="R14" s="4">
        <f t="shared" si="6"/>
        <v>-2.6785714285714306</v>
      </c>
      <c r="S14" s="2">
        <v>-2273</v>
      </c>
      <c r="T14" s="11">
        <f t="shared" si="0"/>
        <v>0.9578592498946481</v>
      </c>
    </row>
    <row r="15" spans="1:20" x14ac:dyDescent="0.2">
      <c r="A15" s="2">
        <v>12</v>
      </c>
      <c r="B15" s="2" t="s">
        <v>34</v>
      </c>
      <c r="C15" s="9">
        <v>34</v>
      </c>
      <c r="D15" s="9">
        <v>18</v>
      </c>
      <c r="E15" s="3">
        <v>-17.5</v>
      </c>
      <c r="F15" s="2">
        <v>-112</v>
      </c>
      <c r="G15" s="4">
        <f t="shared" si="1"/>
        <v>-18.666666666666668</v>
      </c>
      <c r="H15" s="4">
        <f>(C15-D15) + E15</f>
        <v>-1.5</v>
      </c>
      <c r="I15" s="3">
        <v>58.5</v>
      </c>
      <c r="J15" s="4">
        <f>I15/2 - E15/2</f>
        <v>38</v>
      </c>
      <c r="K15" s="4">
        <f>C15-J15</f>
        <v>-4</v>
      </c>
      <c r="L15" s="4">
        <f>I15/2 + E15/2</f>
        <v>20.5</v>
      </c>
      <c r="M15" s="4">
        <f>D15-L15</f>
        <v>-2.5</v>
      </c>
      <c r="N15" s="4">
        <f t="shared" si="2"/>
        <v>-2.6666666666666679</v>
      </c>
      <c r="O15" s="4">
        <f t="shared" si="3"/>
        <v>38.583333333333336</v>
      </c>
      <c r="P15" s="4">
        <f t="shared" si="4"/>
        <v>-4.5833333333333357</v>
      </c>
      <c r="Q15" s="4">
        <f t="shared" si="5"/>
        <v>19.916666666666664</v>
      </c>
      <c r="R15" s="4">
        <f t="shared" si="6"/>
        <v>-1.9166666666666643</v>
      </c>
      <c r="S15" s="2">
        <v>-1076</v>
      </c>
      <c r="T15" s="11">
        <f t="shared" si="0"/>
        <v>0.91496598639455784</v>
      </c>
    </row>
    <row r="16" spans="1:20" x14ac:dyDescent="0.2">
      <c r="A16" s="2" t="s">
        <v>105</v>
      </c>
      <c r="B16" s="2" t="s">
        <v>100</v>
      </c>
      <c r="C16" s="9">
        <v>21</v>
      </c>
      <c r="D16" s="9">
        <v>7</v>
      </c>
      <c r="E16" s="10">
        <v>-4</v>
      </c>
      <c r="F16" s="2">
        <v>-110</v>
      </c>
      <c r="G16" s="4">
        <f t="shared" si="1"/>
        <v>-4.1904761904761907</v>
      </c>
      <c r="H16" s="4">
        <f>(C16-D16) + E16</f>
        <v>10</v>
      </c>
      <c r="I16" s="3">
        <v>57.5</v>
      </c>
      <c r="J16" s="4">
        <f>I16/2 - E16/2</f>
        <v>30.75</v>
      </c>
      <c r="K16" s="4">
        <f>C16-J16</f>
        <v>-9.75</v>
      </c>
      <c r="L16" s="4">
        <f>I16/2 + E16/2</f>
        <v>26.75</v>
      </c>
      <c r="M16" s="4">
        <f>D16-L16</f>
        <v>-19.75</v>
      </c>
      <c r="N16" s="4">
        <f t="shared" si="2"/>
        <v>9.8095238095238102</v>
      </c>
      <c r="O16" s="4">
        <f t="shared" si="3"/>
        <v>30.845238095238095</v>
      </c>
      <c r="P16" s="4">
        <f t="shared" si="4"/>
        <v>-9.8452380952380949</v>
      </c>
      <c r="Q16" s="4">
        <f t="shared" si="5"/>
        <v>26.654761904761905</v>
      </c>
      <c r="R16" s="4">
        <f t="shared" si="6"/>
        <v>-19.654761904761905</v>
      </c>
      <c r="S16" s="2">
        <v>-192</v>
      </c>
      <c r="T16" s="11">
        <f t="shared" si="0"/>
        <v>0.65753424657534243</v>
      </c>
    </row>
    <row r="18" spans="1:20" s="4" customFormat="1" x14ac:dyDescent="0.2">
      <c r="A18" s="5" t="s">
        <v>25</v>
      </c>
      <c r="C18" s="4">
        <f>SUM(C4:C16)</f>
        <v>508</v>
      </c>
      <c r="D18" s="4">
        <f>SUM(D4:D16)</f>
        <v>285</v>
      </c>
      <c r="E18" s="4">
        <f t="shared" ref="E18:F18" si="7">SUM(E4:E16)</f>
        <v>-203.5</v>
      </c>
      <c r="F18" s="4">
        <f t="shared" si="7"/>
        <v>-1440</v>
      </c>
      <c r="G18" s="4">
        <f>SUM(G4:G16)</f>
        <v>-214.00476190476192</v>
      </c>
      <c r="H18" s="4">
        <f>SUM(H4:H16)</f>
        <v>19.5</v>
      </c>
      <c r="I18" s="4">
        <f>SUM(I4:I16)</f>
        <v>794</v>
      </c>
      <c r="J18" s="4">
        <f>SUM(J4:J16)</f>
        <v>498.75</v>
      </c>
      <c r="K18" s="4">
        <f>SUM(K4:K16)</f>
        <v>9.25</v>
      </c>
      <c r="L18" s="4">
        <f>SUM(L4:L16)</f>
        <v>295.25</v>
      </c>
      <c r="M18" s="4">
        <f>SUM(M3:M16)</f>
        <v>-10.25</v>
      </c>
      <c r="N18" s="4">
        <f t="shared" ref="N18:R18" si="8">SUM(N3:N16)</f>
        <v>8.9952380952380899</v>
      </c>
      <c r="O18" s="4">
        <f t="shared" si="8"/>
        <v>504.00238095238086</v>
      </c>
      <c r="P18" s="4">
        <f t="shared" si="8"/>
        <v>3.9976190476190467</v>
      </c>
      <c r="Q18" s="4">
        <f t="shared" si="8"/>
        <v>289.99761904761908</v>
      </c>
      <c r="R18" s="4">
        <f t="shared" si="8"/>
        <v>-4.9976190476190467</v>
      </c>
    </row>
    <row r="19" spans="1:20" s="7" customFormat="1" x14ac:dyDescent="0.2">
      <c r="A19" s="6" t="s">
        <v>26</v>
      </c>
      <c r="C19" s="7">
        <f t="shared" ref="C19:S19" si="9">AVERAGE(C4:C16)</f>
        <v>39.07692307692308</v>
      </c>
      <c r="D19" s="7">
        <f t="shared" si="9"/>
        <v>21.923076923076923</v>
      </c>
      <c r="E19" s="7">
        <f t="shared" si="9"/>
        <v>-15.653846153846153</v>
      </c>
      <c r="F19" s="7">
        <f t="shared" si="9"/>
        <v>-110.76923076923077</v>
      </c>
      <c r="G19" s="4">
        <f>AVERAGE(G4:G16)</f>
        <v>-16.461904761904762</v>
      </c>
      <c r="H19" s="7">
        <f t="shared" si="9"/>
        <v>1.5</v>
      </c>
      <c r="I19" s="7">
        <f t="shared" si="9"/>
        <v>61.07692307692308</v>
      </c>
      <c r="J19" s="7">
        <f t="shared" si="9"/>
        <v>38.365384615384613</v>
      </c>
      <c r="K19" s="7">
        <f t="shared" si="9"/>
        <v>0.71153846153846156</v>
      </c>
      <c r="L19" s="7">
        <f t="shared" si="9"/>
        <v>22.71153846153846</v>
      </c>
      <c r="M19" s="7">
        <f t="shared" si="9"/>
        <v>-0.78846153846153844</v>
      </c>
      <c r="N19" s="7">
        <f t="shared" si="9"/>
        <v>0.69194139194139148</v>
      </c>
      <c r="O19" s="7">
        <f t="shared" si="9"/>
        <v>38.769413919413914</v>
      </c>
      <c r="P19" s="7">
        <f t="shared" si="9"/>
        <v>0.30750915750915742</v>
      </c>
      <c r="Q19" s="7">
        <f t="shared" si="9"/>
        <v>22.307509157509159</v>
      </c>
      <c r="R19" s="7">
        <f>AVERAGE(R4:R16)</f>
        <v>-0.38443223443223434</v>
      </c>
      <c r="S19" s="7">
        <f t="shared" si="9"/>
        <v>-2933</v>
      </c>
      <c r="T19" s="8">
        <f>AVERAGE(T4:T17)</f>
        <v>0.81424119870788902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7415-2942-E741-932D-7BBDF6827FF1}">
  <sheetPr>
    <tabColor rgb="FFC00000"/>
  </sheetPr>
  <dimension ref="A1:T18"/>
  <sheetViews>
    <sheetView zoomScale="50" zoomScaleNormal="100" workbookViewId="0">
      <selection activeCell="Q26" sqref="Q26"/>
    </sheetView>
  </sheetViews>
  <sheetFormatPr baseColWidth="10" defaultColWidth="9.83203125" defaultRowHeight="15" x14ac:dyDescent="0.2"/>
  <cols>
    <col min="1" max="1" width="19.1640625" style="2" bestFit="1" customWidth="1"/>
    <col min="2" max="2" width="25" style="2" bestFit="1" customWidth="1"/>
    <col min="3" max="3" width="13.1640625" style="2" bestFit="1" customWidth="1"/>
    <col min="4" max="4" width="24.1640625" style="2" bestFit="1" customWidth="1"/>
    <col min="5" max="5" width="16.83203125" style="2" bestFit="1" customWidth="1"/>
    <col min="6" max="6" width="15.83203125" style="2" bestFit="1" customWidth="1"/>
    <col min="7" max="7" width="14.6640625" style="2" bestFit="1" customWidth="1"/>
    <col min="8" max="8" width="34.33203125" style="2" bestFit="1" customWidth="1"/>
    <col min="9" max="9" width="8.83203125" style="2" bestFit="1" customWidth="1"/>
    <col min="10" max="10" width="23.6640625" style="2" bestFit="1" customWidth="1"/>
    <col min="11" max="11" width="31.83203125" style="2" bestFit="1" customWidth="1"/>
    <col min="12" max="12" width="24.1640625" style="2" bestFit="1" customWidth="1"/>
    <col min="13" max="13" width="36.1640625" style="2" bestFit="1" customWidth="1"/>
    <col min="14" max="14" width="31.83203125" style="2" bestFit="1" customWidth="1"/>
    <col min="15" max="15" width="21.33203125" style="2" bestFit="1" customWidth="1"/>
    <col min="16" max="16" width="29.83203125" style="2" bestFit="1" customWidth="1"/>
    <col min="17" max="17" width="21.83203125" style="2" bestFit="1" customWidth="1"/>
    <col min="18" max="18" width="34" style="2" bestFit="1" customWidth="1"/>
    <col min="19" max="19" width="18.5" style="2" bestFit="1" customWidth="1"/>
    <col min="20" max="20" width="19.6640625" style="2" bestFit="1" customWidth="1"/>
    <col min="21" max="16384" width="9.83203125" style="2"/>
  </cols>
  <sheetData>
    <row r="1" spans="1:20" x14ac:dyDescent="0.2">
      <c r="A1" s="1" t="s">
        <v>109</v>
      </c>
      <c r="B1" s="1" t="s">
        <v>110</v>
      </c>
      <c r="C1" s="1" t="s">
        <v>2</v>
      </c>
      <c r="D1" s="1" t="s">
        <v>76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106</v>
      </c>
      <c r="C4" s="9">
        <v>31</v>
      </c>
      <c r="D4" s="9">
        <v>7</v>
      </c>
      <c r="E4" s="3">
        <v>-25.5</v>
      </c>
      <c r="F4" s="2">
        <v>-110</v>
      </c>
      <c r="G4" s="4">
        <f>E4*(F4/-105)</f>
        <v>-26.714285714285715</v>
      </c>
      <c r="H4" s="4">
        <f>(C4-D4) + E4</f>
        <v>-1.5</v>
      </c>
      <c r="I4" s="3">
        <v>51.5</v>
      </c>
      <c r="J4" s="4">
        <f>I4/2 - E4/2</f>
        <v>38.5</v>
      </c>
      <c r="K4" s="4">
        <f>C4-J4</f>
        <v>-7.5</v>
      </c>
      <c r="L4" s="4">
        <f>I4/2 + E4/2</f>
        <v>13</v>
      </c>
      <c r="M4" s="4">
        <f>D4-L4</f>
        <v>-6</v>
      </c>
      <c r="N4" s="4">
        <f>(C4-D4) + G4</f>
        <v>-2.7142857142857153</v>
      </c>
      <c r="O4" s="4">
        <f>I4/2 - G4/2</f>
        <v>39.107142857142861</v>
      </c>
      <c r="P4" s="4">
        <f>C4-O4</f>
        <v>-8.1071428571428612</v>
      </c>
      <c r="Q4" s="4">
        <f>I4/2 + G4/2</f>
        <v>12.392857142857142</v>
      </c>
      <c r="R4" s="4">
        <f>D4-Q4</f>
        <v>-5.3928571428571423</v>
      </c>
      <c r="S4" s="2">
        <v>-3133</v>
      </c>
      <c r="T4" s="11">
        <f t="shared" ref="T4:T15" si="0">IF(S4&gt;0,100/(100+S4),ABS(S4)/(100+ABS(S4)))</f>
        <v>0.96906897618311161</v>
      </c>
    </row>
    <row r="5" spans="1:20" x14ac:dyDescent="0.2">
      <c r="A5" s="2">
        <v>2</v>
      </c>
      <c r="B5" s="2" t="s">
        <v>107</v>
      </c>
      <c r="C5" s="9">
        <v>77</v>
      </c>
      <c r="D5" s="9">
        <v>3</v>
      </c>
      <c r="E5" s="10">
        <v>-45</v>
      </c>
      <c r="F5" s="2">
        <v>-110</v>
      </c>
      <c r="G5" s="4">
        <f t="shared" ref="G5:G15" si="1">E5*(F5/-105)</f>
        <v>-47.142857142857146</v>
      </c>
      <c r="H5" s="4">
        <f>(C5-D5) + E5</f>
        <v>29</v>
      </c>
      <c r="I5" s="3">
        <v>54.5</v>
      </c>
      <c r="J5" s="4">
        <f>I5/2 - E5/2</f>
        <v>49.75</v>
      </c>
      <c r="K5" s="4">
        <f>C5-J5</f>
        <v>27.25</v>
      </c>
      <c r="L5" s="4">
        <f>I5/2 + E5/2</f>
        <v>4.75</v>
      </c>
      <c r="M5" s="4">
        <f>D5-L5</f>
        <v>-1.75</v>
      </c>
      <c r="N5" s="4">
        <f t="shared" ref="N5:N15" si="2">(C5-D5) + G5</f>
        <v>26.857142857142854</v>
      </c>
      <c r="O5" s="4">
        <f t="shared" ref="O5:O15" si="3">I5/2 - G5/2</f>
        <v>50.821428571428569</v>
      </c>
      <c r="P5" s="4">
        <f t="shared" ref="P5:P15" si="4">C5-O5</f>
        <v>26.178571428571431</v>
      </c>
      <c r="Q5" s="4">
        <f t="shared" ref="Q5:Q15" si="5">I5/2 + G5/2</f>
        <v>3.678571428571427</v>
      </c>
      <c r="R5" s="4">
        <f t="shared" ref="R5:R15" si="6">D5-Q5</f>
        <v>-0.67857142857142705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16</v>
      </c>
      <c r="C6" s="9">
        <v>42</v>
      </c>
      <c r="D6" s="9">
        <v>13</v>
      </c>
      <c r="E6" s="10">
        <v>-3.5</v>
      </c>
      <c r="F6" s="2">
        <v>-113</v>
      </c>
      <c r="G6" s="4">
        <f t="shared" si="1"/>
        <v>-3.7666666666666666</v>
      </c>
      <c r="H6" s="4">
        <f>(C6-D6) + E6</f>
        <v>25.5</v>
      </c>
      <c r="I6" s="3">
        <v>47</v>
      </c>
      <c r="J6" s="4">
        <f>I6/2 - E6/2</f>
        <v>25.25</v>
      </c>
      <c r="K6" s="4">
        <f>C6-J6</f>
        <v>16.75</v>
      </c>
      <c r="L6" s="4">
        <f>I6/2 + E6/2</f>
        <v>21.75</v>
      </c>
      <c r="M6" s="4">
        <f>D6-L6</f>
        <v>-8.75</v>
      </c>
      <c r="N6" s="4">
        <f t="shared" si="2"/>
        <v>25.233333333333334</v>
      </c>
      <c r="O6" s="4">
        <f t="shared" si="3"/>
        <v>25.383333333333333</v>
      </c>
      <c r="P6" s="4">
        <f t="shared" si="4"/>
        <v>16.616666666666667</v>
      </c>
      <c r="Q6" s="4">
        <f t="shared" si="5"/>
        <v>21.616666666666667</v>
      </c>
      <c r="R6" s="4">
        <f t="shared" si="6"/>
        <v>-8.6166666666666671</v>
      </c>
      <c r="S6" s="2">
        <v>-181</v>
      </c>
      <c r="T6" s="11">
        <f t="shared" si="0"/>
        <v>0.64412811387900359</v>
      </c>
    </row>
    <row r="7" spans="1:20" x14ac:dyDescent="0.2">
      <c r="A7" s="2">
        <v>4</v>
      </c>
      <c r="B7" s="2" t="s">
        <v>108</v>
      </c>
      <c r="C7" s="9">
        <v>52</v>
      </c>
      <c r="D7" s="9">
        <v>14</v>
      </c>
      <c r="E7" s="10">
        <v>-28.5</v>
      </c>
      <c r="F7" s="2">
        <v>-110</v>
      </c>
      <c r="G7" s="4">
        <f t="shared" si="1"/>
        <v>-29.857142857142858</v>
      </c>
      <c r="H7" s="4">
        <f>(C7-D7) + E7</f>
        <v>9.5</v>
      </c>
      <c r="I7" s="3">
        <v>50.5</v>
      </c>
      <c r="J7" s="4">
        <f>I7/2 - E7/2</f>
        <v>39.5</v>
      </c>
      <c r="K7" s="4">
        <f>C7-J7</f>
        <v>12.5</v>
      </c>
      <c r="L7" s="4">
        <f>I7/2 + E7/2</f>
        <v>11</v>
      </c>
      <c r="M7" s="4">
        <f>D7-L7</f>
        <v>3</v>
      </c>
      <c r="N7" s="4">
        <f t="shared" si="2"/>
        <v>8.1428571428571423</v>
      </c>
      <c r="O7" s="4">
        <f t="shared" si="3"/>
        <v>40.178571428571431</v>
      </c>
      <c r="P7" s="4">
        <f t="shared" si="4"/>
        <v>11.821428571428569</v>
      </c>
      <c r="Q7" s="4">
        <f t="shared" si="5"/>
        <v>10.321428571428571</v>
      </c>
      <c r="R7" s="4">
        <f t="shared" si="6"/>
        <v>3.6785714285714288</v>
      </c>
      <c r="S7" s="2">
        <v>-6012</v>
      </c>
      <c r="T7" s="11">
        <f t="shared" si="0"/>
        <v>0.9836387434554974</v>
      </c>
    </row>
    <row r="8" spans="1:20" x14ac:dyDescent="0.2">
      <c r="A8" s="2">
        <v>5</v>
      </c>
      <c r="B8" s="2" t="s">
        <v>23</v>
      </c>
      <c r="C8" s="9">
        <v>42</v>
      </c>
      <c r="D8" s="9">
        <v>28</v>
      </c>
      <c r="E8" s="10">
        <v>-7.5</v>
      </c>
      <c r="F8" s="2">
        <v>-106</v>
      </c>
      <c r="G8" s="4">
        <f t="shared" si="1"/>
        <v>-7.5714285714285712</v>
      </c>
      <c r="H8" s="4">
        <f>(C8-D8) + E8</f>
        <v>6.5</v>
      </c>
      <c r="I8" s="3">
        <v>50.5</v>
      </c>
      <c r="J8" s="4">
        <f>I8/2 - E8/2</f>
        <v>29</v>
      </c>
      <c r="K8" s="4">
        <f>C8-J8</f>
        <v>13</v>
      </c>
      <c r="L8" s="4">
        <f>I8/2 + E8/2</f>
        <v>21.5</v>
      </c>
      <c r="M8" s="4">
        <f>D8-L8</f>
        <v>6.5</v>
      </c>
      <c r="N8" s="4">
        <f t="shared" si="2"/>
        <v>6.4285714285714288</v>
      </c>
      <c r="O8" s="4">
        <f t="shared" si="3"/>
        <v>29.035714285714285</v>
      </c>
      <c r="P8" s="4">
        <f t="shared" si="4"/>
        <v>12.964285714285715</v>
      </c>
      <c r="Q8" s="4">
        <f t="shared" si="5"/>
        <v>21.464285714285715</v>
      </c>
      <c r="R8" s="4">
        <f t="shared" si="6"/>
        <v>6.5357142857142847</v>
      </c>
      <c r="S8" s="2">
        <v>-300</v>
      </c>
      <c r="T8" s="11">
        <f t="shared" si="0"/>
        <v>0.75</v>
      </c>
    </row>
    <row r="9" spans="1:20" x14ac:dyDescent="0.2">
      <c r="A9" s="2">
        <v>6</v>
      </c>
      <c r="B9" s="2" t="s">
        <v>85</v>
      </c>
      <c r="C9" s="9">
        <v>41</v>
      </c>
      <c r="D9" s="9">
        <v>24</v>
      </c>
      <c r="E9" s="10">
        <v>-13</v>
      </c>
      <c r="F9" s="2">
        <v>-108</v>
      </c>
      <c r="G9" s="4">
        <f t="shared" si="1"/>
        <v>-13.37142857142857</v>
      </c>
      <c r="H9" s="4">
        <f>(C9-D9) + E9</f>
        <v>4</v>
      </c>
      <c r="I9" s="3">
        <v>40.5</v>
      </c>
      <c r="J9" s="4">
        <f>I9/2 - E9/2</f>
        <v>26.75</v>
      </c>
      <c r="K9" s="4">
        <f>C9-J9</f>
        <v>14.25</v>
      </c>
      <c r="L9" s="4">
        <f>I9/2 + E9/2</f>
        <v>13.75</v>
      </c>
      <c r="M9" s="4">
        <f>D9-L9</f>
        <v>10.25</v>
      </c>
      <c r="N9" s="4">
        <f t="shared" si="2"/>
        <v>3.6285714285714299</v>
      </c>
      <c r="O9" s="4">
        <f t="shared" si="3"/>
        <v>26.935714285714283</v>
      </c>
      <c r="P9" s="4">
        <f t="shared" si="4"/>
        <v>14.064285714285717</v>
      </c>
      <c r="Q9" s="4">
        <f t="shared" si="5"/>
        <v>13.564285714285715</v>
      </c>
      <c r="R9" s="4">
        <f t="shared" si="6"/>
        <v>10.435714285714285</v>
      </c>
      <c r="S9" s="2">
        <v>-571</v>
      </c>
      <c r="T9" s="11">
        <f t="shared" si="0"/>
        <v>0.8509687034277198</v>
      </c>
    </row>
    <row r="10" spans="1:20" x14ac:dyDescent="0.2">
      <c r="A10" s="2">
        <v>7</v>
      </c>
      <c r="B10" s="2" t="s">
        <v>84</v>
      </c>
      <c r="C10" s="9">
        <v>56</v>
      </c>
      <c r="D10" s="9">
        <v>7</v>
      </c>
      <c r="E10" s="10">
        <v>-6.5</v>
      </c>
      <c r="F10" s="2">
        <v>-111</v>
      </c>
      <c r="G10" s="4">
        <f t="shared" si="1"/>
        <v>-6.8714285714285719</v>
      </c>
      <c r="H10" s="4">
        <f>(C10-D10) + E10</f>
        <v>42.5</v>
      </c>
      <c r="I10" s="3">
        <v>48</v>
      </c>
      <c r="J10" s="4">
        <f>I10/2 - E10/2</f>
        <v>27.25</v>
      </c>
      <c r="K10" s="4">
        <f>C10-J10</f>
        <v>28.75</v>
      </c>
      <c r="L10" s="4">
        <f>I10/2 + E10/2</f>
        <v>20.75</v>
      </c>
      <c r="M10" s="4">
        <f>D10-L10</f>
        <v>-13.75</v>
      </c>
      <c r="N10" s="4">
        <f t="shared" si="2"/>
        <v>42.128571428571426</v>
      </c>
      <c r="O10" s="4">
        <f t="shared" si="3"/>
        <v>27.435714285714287</v>
      </c>
      <c r="P10" s="4">
        <f t="shared" si="4"/>
        <v>28.564285714285713</v>
      </c>
      <c r="Q10" s="4">
        <f t="shared" si="5"/>
        <v>20.564285714285713</v>
      </c>
      <c r="R10" s="4">
        <f t="shared" si="6"/>
        <v>-13.564285714285713</v>
      </c>
      <c r="S10" s="2">
        <v>-237</v>
      </c>
      <c r="T10" s="11">
        <f t="shared" si="0"/>
        <v>0.70326409495548958</v>
      </c>
    </row>
    <row r="11" spans="1:20" x14ac:dyDescent="0.2">
      <c r="A11" s="2">
        <v>8</v>
      </c>
      <c r="B11" s="2" t="s">
        <v>20</v>
      </c>
      <c r="C11" s="9">
        <v>31</v>
      </c>
      <c r="D11" s="9">
        <v>17</v>
      </c>
      <c r="E11" s="10">
        <v>-5</v>
      </c>
      <c r="F11" s="2">
        <v>-112</v>
      </c>
      <c r="G11" s="4">
        <f t="shared" si="1"/>
        <v>-5.333333333333333</v>
      </c>
      <c r="H11" s="4">
        <f>(C11-D11) + E11</f>
        <v>9</v>
      </c>
      <c r="I11" s="3">
        <v>54</v>
      </c>
      <c r="J11" s="4">
        <f>I11/2 - E11/2</f>
        <v>29.5</v>
      </c>
      <c r="K11" s="4">
        <f>C11-J11</f>
        <v>1.5</v>
      </c>
      <c r="L11" s="4">
        <f>I11/2 + E11/2</f>
        <v>24.5</v>
      </c>
      <c r="M11" s="4">
        <f>D11-L11</f>
        <v>-7.5</v>
      </c>
      <c r="N11" s="4">
        <f t="shared" si="2"/>
        <v>8.6666666666666679</v>
      </c>
      <c r="O11" s="4">
        <f t="shared" si="3"/>
        <v>29.666666666666668</v>
      </c>
      <c r="P11" s="4">
        <f t="shared" si="4"/>
        <v>1.3333333333333321</v>
      </c>
      <c r="Q11" s="4">
        <f t="shared" si="5"/>
        <v>24.333333333333332</v>
      </c>
      <c r="R11" s="4">
        <f t="shared" si="6"/>
        <v>-7.3333333333333321</v>
      </c>
      <c r="S11" s="2">
        <v>-218</v>
      </c>
      <c r="T11" s="11">
        <f t="shared" si="0"/>
        <v>0.68553459119496851</v>
      </c>
    </row>
    <row r="12" spans="1:20" x14ac:dyDescent="0.2">
      <c r="A12" s="2">
        <v>9</v>
      </c>
      <c r="B12" s="2" t="s">
        <v>35</v>
      </c>
      <c r="C12" s="9">
        <v>47</v>
      </c>
      <c r="D12" s="9">
        <v>10</v>
      </c>
      <c r="E12" s="10">
        <v>-7.5</v>
      </c>
      <c r="F12" s="2">
        <v>-107</v>
      </c>
      <c r="G12" s="4">
        <f t="shared" si="1"/>
        <v>-7.6428571428571423</v>
      </c>
      <c r="H12" s="4">
        <f>(C12-D12) + E12</f>
        <v>29.5</v>
      </c>
      <c r="I12" s="3">
        <v>53.5</v>
      </c>
      <c r="J12" s="4">
        <f>I12/2 - E12/2</f>
        <v>30.5</v>
      </c>
      <c r="K12" s="4">
        <f>C12-J12</f>
        <v>16.5</v>
      </c>
      <c r="L12" s="4">
        <f>I12/2 + E12/2</f>
        <v>23</v>
      </c>
      <c r="M12" s="4">
        <f>D12-L12</f>
        <v>-13</v>
      </c>
      <c r="N12" s="4">
        <f t="shared" si="2"/>
        <v>29.357142857142858</v>
      </c>
      <c r="O12" s="4">
        <f t="shared" si="3"/>
        <v>30.571428571428569</v>
      </c>
      <c r="P12" s="4">
        <f t="shared" si="4"/>
        <v>16.428571428571431</v>
      </c>
      <c r="Q12" s="4">
        <f t="shared" si="5"/>
        <v>22.928571428571431</v>
      </c>
      <c r="R12" s="4">
        <f t="shared" si="6"/>
        <v>-12.928571428571431</v>
      </c>
      <c r="S12" s="2">
        <v>-297</v>
      </c>
      <c r="T12" s="11">
        <f t="shared" si="0"/>
        <v>0.74811083123425692</v>
      </c>
    </row>
    <row r="13" spans="1:20" x14ac:dyDescent="0.2">
      <c r="A13" s="2">
        <v>10</v>
      </c>
      <c r="B13" s="2" t="s">
        <v>36</v>
      </c>
      <c r="C13" s="9">
        <v>20</v>
      </c>
      <c r="D13" s="9">
        <v>15</v>
      </c>
      <c r="E13" s="3">
        <v>-14.5</v>
      </c>
      <c r="F13" s="2">
        <v>-109</v>
      </c>
      <c r="G13" s="4">
        <f t="shared" si="1"/>
        <v>-15.052380952380954</v>
      </c>
      <c r="H13" s="4">
        <f>(C13-D13) + E13</f>
        <v>-9.5</v>
      </c>
      <c r="I13" s="3">
        <v>47.5</v>
      </c>
      <c r="J13" s="4">
        <f>I13/2 - E13/2</f>
        <v>31</v>
      </c>
      <c r="K13" s="4">
        <f>C13-J13</f>
        <v>-11</v>
      </c>
      <c r="L13" s="4">
        <f>I13/2 + E13/2</f>
        <v>16.5</v>
      </c>
      <c r="M13" s="4">
        <f>D13-L13</f>
        <v>-1.5</v>
      </c>
      <c r="N13" s="4">
        <f t="shared" si="2"/>
        <v>-10.052380952380954</v>
      </c>
      <c r="O13" s="4">
        <f t="shared" si="3"/>
        <v>31.276190476190479</v>
      </c>
      <c r="P13" s="4">
        <f t="shared" si="4"/>
        <v>-11.276190476190479</v>
      </c>
      <c r="Q13" s="4">
        <f t="shared" si="5"/>
        <v>16.223809523809521</v>
      </c>
      <c r="R13" s="4">
        <f t="shared" si="6"/>
        <v>-1.2238095238095212</v>
      </c>
      <c r="S13" s="2">
        <v>-685</v>
      </c>
      <c r="T13" s="11">
        <f t="shared" si="0"/>
        <v>0.87261146496815289</v>
      </c>
    </row>
    <row r="14" spans="1:20" x14ac:dyDescent="0.2">
      <c r="A14" s="2">
        <v>11</v>
      </c>
      <c r="B14" s="2" t="s">
        <v>19</v>
      </c>
      <c r="C14" s="2">
        <v>15</v>
      </c>
      <c r="D14" s="2">
        <v>38</v>
      </c>
      <c r="E14" s="3">
        <v>10.5</v>
      </c>
      <c r="F14" s="2">
        <v>-110</v>
      </c>
      <c r="G14" s="4">
        <f t="shared" si="1"/>
        <v>11</v>
      </c>
      <c r="H14" s="4">
        <f>(C14-D14) + E14</f>
        <v>-12.5</v>
      </c>
      <c r="I14" s="3">
        <v>52.5</v>
      </c>
      <c r="J14" s="4">
        <f>I14/2 - E14/2</f>
        <v>21</v>
      </c>
      <c r="K14" s="4">
        <f>C14-J14</f>
        <v>-6</v>
      </c>
      <c r="L14" s="4">
        <f>I14/2 + E14/2</f>
        <v>31.5</v>
      </c>
      <c r="M14" s="4">
        <f>D14-L14</f>
        <v>6.5</v>
      </c>
      <c r="N14" s="4">
        <f t="shared" si="2"/>
        <v>-12</v>
      </c>
      <c r="O14" s="4">
        <f t="shared" si="3"/>
        <v>20.75</v>
      </c>
      <c r="P14" s="4">
        <f t="shared" si="4"/>
        <v>-5.75</v>
      </c>
      <c r="Q14" s="4">
        <f t="shared" si="5"/>
        <v>31.75</v>
      </c>
      <c r="R14" s="4">
        <f t="shared" si="6"/>
        <v>6.25</v>
      </c>
      <c r="S14" s="2">
        <v>331</v>
      </c>
      <c r="T14" s="11">
        <f t="shared" si="0"/>
        <v>0.23201856148491878</v>
      </c>
    </row>
    <row r="15" spans="1:20" x14ac:dyDescent="0.2">
      <c r="A15" s="2">
        <v>12</v>
      </c>
      <c r="B15" s="2" t="s">
        <v>21</v>
      </c>
      <c r="C15" s="9">
        <v>66</v>
      </c>
      <c r="D15" s="9">
        <v>0</v>
      </c>
      <c r="E15" s="3">
        <v>-29.5</v>
      </c>
      <c r="F15" s="2">
        <v>-109</v>
      </c>
      <c r="G15" s="4">
        <f t="shared" si="1"/>
        <v>-30.623809523809527</v>
      </c>
      <c r="H15" s="4">
        <f>(C15-D15) + E15</f>
        <v>36.5</v>
      </c>
      <c r="I15" s="3">
        <v>56.5</v>
      </c>
      <c r="J15" s="4">
        <f>I15/2 - E15/2</f>
        <v>43</v>
      </c>
      <c r="K15" s="4">
        <f>C15-J15</f>
        <v>23</v>
      </c>
      <c r="L15" s="4">
        <f>I15/2 + E15/2</f>
        <v>13.5</v>
      </c>
      <c r="M15" s="4">
        <f>D15-L15</f>
        <v>-13.5</v>
      </c>
      <c r="N15" s="4">
        <f t="shared" si="2"/>
        <v>35.376190476190473</v>
      </c>
      <c r="O15" s="4">
        <f t="shared" si="3"/>
        <v>43.561904761904763</v>
      </c>
      <c r="P15" s="4">
        <f t="shared" si="4"/>
        <v>22.438095238095237</v>
      </c>
      <c r="Q15" s="4">
        <f t="shared" si="5"/>
        <v>12.938095238095237</v>
      </c>
      <c r="R15" s="4">
        <f t="shared" si="6"/>
        <v>-12.938095238095237</v>
      </c>
      <c r="S15" s="2">
        <v>-7480</v>
      </c>
      <c r="T15" s="11">
        <f t="shared" si="0"/>
        <v>0.98680738786279687</v>
      </c>
    </row>
    <row r="17" spans="1:20" s="4" customFormat="1" x14ac:dyDescent="0.2">
      <c r="A17" s="5" t="s">
        <v>25</v>
      </c>
      <c r="C17" s="4">
        <f>SUM(C4:C15)</f>
        <v>520</v>
      </c>
      <c r="D17" s="4">
        <f>SUM(D4:D15)</f>
        <v>176</v>
      </c>
      <c r="E17" s="4">
        <f t="shared" ref="E17:F17" si="7">SUM(E4:E15)</f>
        <v>-175.5</v>
      </c>
      <c r="F17" s="4">
        <f t="shared" si="7"/>
        <v>-1315</v>
      </c>
      <c r="G17" s="4">
        <f>SUM(G4:G15)</f>
        <v>-182.94761904761907</v>
      </c>
      <c r="H17" s="4">
        <f>SUM(H4:H15)</f>
        <v>168.5</v>
      </c>
      <c r="I17" s="4">
        <f>SUM(I4:I15)</f>
        <v>606.5</v>
      </c>
      <c r="J17" s="4">
        <f>SUM(J4:J15)</f>
        <v>391</v>
      </c>
      <c r="K17" s="4">
        <f>SUM(K4:K15)</f>
        <v>129</v>
      </c>
      <c r="L17" s="4">
        <f>SUM(L4:L15)</f>
        <v>215.5</v>
      </c>
      <c r="M17" s="4">
        <f>SUM(M3:M15)</f>
        <v>-39.5</v>
      </c>
      <c r="N17" s="4">
        <f>SUM(N3:N15)</f>
        <v>161.05238095238093</v>
      </c>
      <c r="O17" s="4">
        <f>SUM(O3:O15)</f>
        <v>394.72380952380956</v>
      </c>
      <c r="P17" s="4">
        <f>SUM(P3:P15)</f>
        <v>125.27619047619046</v>
      </c>
      <c r="Q17" s="4">
        <f>SUM(Q3:Q15)</f>
        <v>211.77619047619044</v>
      </c>
      <c r="R17" s="4">
        <f>SUM(R3:R15)</f>
        <v>-35.776190476190472</v>
      </c>
    </row>
    <row r="18" spans="1:20" s="7" customFormat="1" x14ac:dyDescent="0.2">
      <c r="A18" s="6" t="s">
        <v>26</v>
      </c>
      <c r="C18" s="7">
        <f>AVERAGE(C4:C15)</f>
        <v>43.333333333333336</v>
      </c>
      <c r="D18" s="7">
        <f>AVERAGE(D4:D15)</f>
        <v>14.666666666666666</v>
      </c>
      <c r="E18" s="7">
        <f>AVERAGE(E4:E15)</f>
        <v>-14.625</v>
      </c>
      <c r="F18" s="7">
        <f>AVERAGE(F4:F15)</f>
        <v>-109.58333333333333</v>
      </c>
      <c r="G18" s="4">
        <f>AVERAGE(G4:G15)</f>
        <v>-15.245634920634922</v>
      </c>
      <c r="H18" s="7">
        <f>AVERAGE(H4:H15)</f>
        <v>14.041666666666666</v>
      </c>
      <c r="I18" s="7">
        <f>AVERAGE(I4:I15)</f>
        <v>50.541666666666664</v>
      </c>
      <c r="J18" s="7">
        <f>AVERAGE(J4:J15)</f>
        <v>32.583333333333336</v>
      </c>
      <c r="K18" s="7">
        <f>AVERAGE(K4:K15)</f>
        <v>10.75</v>
      </c>
      <c r="L18" s="7">
        <f>AVERAGE(L4:L15)</f>
        <v>17.958333333333332</v>
      </c>
      <c r="M18" s="7">
        <f>AVERAGE(M4:M15)</f>
        <v>-3.2916666666666665</v>
      </c>
      <c r="N18" s="7">
        <f>AVERAGE(N4:N15)</f>
        <v>13.421031746031744</v>
      </c>
      <c r="O18" s="7">
        <f>AVERAGE(O4:O15)</f>
        <v>32.893650793650799</v>
      </c>
      <c r="P18" s="7">
        <f>AVERAGE(P4:P15)</f>
        <v>10.439682539682538</v>
      </c>
      <c r="Q18" s="7">
        <f>AVERAGE(Q4:Q15)</f>
        <v>17.648015873015868</v>
      </c>
      <c r="R18" s="7">
        <f>AVERAGE(R4:R15)</f>
        <v>-2.981349206349206</v>
      </c>
      <c r="S18" s="7">
        <f>AVERAGE(S4:S15)</f>
        <v>-3231.9166666666665</v>
      </c>
      <c r="T18" s="8">
        <f>AVERAGE(T4:T16)</f>
        <v>0.78509802868898382</v>
      </c>
    </row>
  </sheetData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1394-F19C-894F-910A-3E94D5CC3FDF}">
  <sheetPr>
    <tabColor rgb="FFFED300"/>
  </sheetPr>
  <dimension ref="A1:T46"/>
  <sheetViews>
    <sheetView zoomScale="58" zoomScaleNormal="100" workbookViewId="0">
      <selection activeCell="P24" sqref="P24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3" style="2" bestFit="1" customWidth="1"/>
    <col min="4" max="4" width="16" style="2" bestFit="1" customWidth="1"/>
    <col min="5" max="5" width="16.5" style="2" bestFit="1" customWidth="1"/>
    <col min="6" max="6" width="15" style="2" bestFit="1" customWidth="1"/>
    <col min="7" max="7" width="14.5" style="2" bestFit="1" customWidth="1"/>
    <col min="8" max="8" width="32.83203125" style="2" bestFit="1" customWidth="1"/>
    <col min="9" max="9" width="8.83203125" style="2" bestFit="1" customWidth="1"/>
    <col min="10" max="10" width="22.5" style="2" bestFit="1" customWidth="1"/>
    <col min="11" max="11" width="30.3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6640625" style="2" bestFit="1" customWidth="1"/>
    <col min="16" max="16" width="28.1640625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111</v>
      </c>
      <c r="B1" s="1" t="s">
        <v>112</v>
      </c>
      <c r="C1" s="1" t="s">
        <v>2</v>
      </c>
      <c r="D1" s="1" t="s">
        <v>113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104</v>
      </c>
      <c r="C4" s="9">
        <v>48</v>
      </c>
      <c r="D4" s="9">
        <v>7</v>
      </c>
      <c r="E4" s="10">
        <v>-6.5</v>
      </c>
      <c r="F4" s="2">
        <v>-110</v>
      </c>
      <c r="G4" s="4">
        <f>E4*(F4/-105)</f>
        <v>-6.8095238095238102</v>
      </c>
      <c r="H4" s="4">
        <f>(C4-D4) + E4</f>
        <v>34.5</v>
      </c>
      <c r="I4" s="3">
        <v>47</v>
      </c>
      <c r="J4" s="4">
        <f>I4/2 - E4/2</f>
        <v>26.75</v>
      </c>
      <c r="K4" s="4">
        <f>C4-J4</f>
        <v>21.25</v>
      </c>
      <c r="L4" s="4">
        <f>I4/2 + E4/2</f>
        <v>20.25</v>
      </c>
      <c r="M4" s="4">
        <f>D4-L4</f>
        <v>-13.25</v>
      </c>
      <c r="N4" s="4">
        <f>(C4-D4) + G4</f>
        <v>34.19047619047619</v>
      </c>
      <c r="O4" s="4">
        <f>I4/2 - G4/2</f>
        <v>26.904761904761905</v>
      </c>
      <c r="P4" s="4">
        <f>C4-O4</f>
        <v>21.095238095238095</v>
      </c>
      <c r="Q4" s="4">
        <f>I4/2 + G4/2</f>
        <v>20.095238095238095</v>
      </c>
      <c r="R4" s="4">
        <f>D4-Q4</f>
        <v>-13.095238095238095</v>
      </c>
      <c r="S4" s="2">
        <v>-251</v>
      </c>
      <c r="T4" s="11">
        <f t="shared" ref="T4:T16" si="0">IF(S4&gt;0,100/(100+S4),ABS(S4)/(100+ABS(S4)))</f>
        <v>0.71509971509971515</v>
      </c>
    </row>
    <row r="5" spans="1:20" x14ac:dyDescent="0.2">
      <c r="A5" s="2">
        <v>2</v>
      </c>
      <c r="B5" s="2" t="s">
        <v>45</v>
      </c>
      <c r="C5" s="9">
        <v>30</v>
      </c>
      <c r="D5" s="9">
        <v>23</v>
      </c>
      <c r="E5" s="10">
        <v>-6</v>
      </c>
      <c r="F5" s="2">
        <v>-112</v>
      </c>
      <c r="G5" s="4">
        <f t="shared" ref="G5:G16" si="1">E5*(F5/-105)</f>
        <v>-6.4</v>
      </c>
      <c r="H5" s="4">
        <f>(C5-D5) + E5</f>
        <v>1</v>
      </c>
      <c r="I5" s="3">
        <v>58</v>
      </c>
      <c r="J5" s="4">
        <f>I5/2 - E5/2</f>
        <v>32</v>
      </c>
      <c r="K5" s="4">
        <f>C5-J5</f>
        <v>-2</v>
      </c>
      <c r="L5" s="4">
        <f>I5/2 + E5/2</f>
        <v>26</v>
      </c>
      <c r="M5" s="4">
        <f>D5-L5</f>
        <v>-3</v>
      </c>
      <c r="N5" s="4">
        <f t="shared" ref="N5:N16" si="2">(C5-D5) + G5</f>
        <v>0.59999999999999964</v>
      </c>
      <c r="O5" s="4">
        <f t="shared" ref="O5:O16" si="3">I5/2 - G5/2</f>
        <v>32.200000000000003</v>
      </c>
      <c r="P5" s="4">
        <f t="shared" ref="P5:P16" si="4">C5-O5</f>
        <v>-2.2000000000000028</v>
      </c>
      <c r="Q5" s="4">
        <f t="shared" ref="Q5:Q16" si="5">I5/2 + G5/2</f>
        <v>25.8</v>
      </c>
      <c r="R5" s="4">
        <f t="shared" ref="R5:R16" si="6">D5-Q5</f>
        <v>-2.8000000000000007</v>
      </c>
      <c r="S5" s="2">
        <v>-229</v>
      </c>
      <c r="T5" s="11">
        <f t="shared" si="0"/>
        <v>0.69604863221884494</v>
      </c>
    </row>
    <row r="6" spans="1:20" x14ac:dyDescent="0.2">
      <c r="A6" s="2">
        <v>3</v>
      </c>
      <c r="B6" s="2" t="s">
        <v>114</v>
      </c>
      <c r="C6" s="9">
        <v>31</v>
      </c>
      <c r="D6" s="9">
        <v>28</v>
      </c>
      <c r="E6" s="10">
        <v>3</v>
      </c>
      <c r="F6" s="2">
        <v>-114</v>
      </c>
      <c r="G6" s="4">
        <f t="shared" si="1"/>
        <v>3.2571428571428571</v>
      </c>
      <c r="H6" s="4">
        <f>(C6-D6) + E6</f>
        <v>6</v>
      </c>
      <c r="I6" s="3">
        <v>58.5</v>
      </c>
      <c r="J6" s="4">
        <f>I6/2 - E6/2</f>
        <v>27.75</v>
      </c>
      <c r="K6" s="4">
        <f>C6-J6</f>
        <v>3.25</v>
      </c>
      <c r="L6" s="4">
        <f>I6/2 + E6/2</f>
        <v>30.75</v>
      </c>
      <c r="M6" s="4">
        <f>D6-L6</f>
        <v>-2.75</v>
      </c>
      <c r="N6" s="4">
        <f t="shared" si="2"/>
        <v>6.2571428571428571</v>
      </c>
      <c r="O6" s="4">
        <f t="shared" si="3"/>
        <v>27.62142857142857</v>
      </c>
      <c r="P6" s="4">
        <f t="shared" si="4"/>
        <v>3.3785714285714299</v>
      </c>
      <c r="Q6" s="4">
        <f t="shared" si="5"/>
        <v>30.87857142857143</v>
      </c>
      <c r="R6" s="4">
        <f t="shared" si="6"/>
        <v>-2.8785714285714299</v>
      </c>
      <c r="S6" s="2">
        <v>124</v>
      </c>
      <c r="T6" s="11">
        <f t="shared" si="0"/>
        <v>0.44642857142857145</v>
      </c>
    </row>
    <row r="7" spans="1:20" x14ac:dyDescent="0.2">
      <c r="A7" s="2">
        <v>4</v>
      </c>
      <c r="B7" s="2" t="s">
        <v>115</v>
      </c>
      <c r="C7" s="2">
        <v>22</v>
      </c>
      <c r="D7" s="2">
        <v>30</v>
      </c>
      <c r="E7" s="3">
        <v>4.5</v>
      </c>
      <c r="F7" s="2">
        <v>-109</v>
      </c>
      <c r="G7" s="4">
        <f t="shared" si="1"/>
        <v>4.6714285714285717</v>
      </c>
      <c r="H7" s="4">
        <f>(C7-D7) + E7</f>
        <v>-3.5</v>
      </c>
      <c r="I7" s="3">
        <v>58.5</v>
      </c>
      <c r="J7" s="4">
        <f>I7/2 - E7/2</f>
        <v>27</v>
      </c>
      <c r="K7" s="4">
        <f>C7-J7</f>
        <v>-5</v>
      </c>
      <c r="L7" s="4">
        <f>I7/2 + E7/2</f>
        <v>31.5</v>
      </c>
      <c r="M7" s="4">
        <f>D7-L7</f>
        <v>-1.5</v>
      </c>
      <c r="N7" s="4">
        <f t="shared" si="2"/>
        <v>-3.3285714285714283</v>
      </c>
      <c r="O7" s="4">
        <f t="shared" si="3"/>
        <v>26.914285714285715</v>
      </c>
      <c r="P7" s="4">
        <f t="shared" si="4"/>
        <v>-4.9142857142857146</v>
      </c>
      <c r="Q7" s="4">
        <f t="shared" si="5"/>
        <v>31.585714285714285</v>
      </c>
      <c r="R7" s="4">
        <f t="shared" si="6"/>
        <v>-1.5857142857142854</v>
      </c>
      <c r="S7" s="2">
        <v>168</v>
      </c>
      <c r="T7" s="11">
        <f t="shared" si="0"/>
        <v>0.37313432835820898</v>
      </c>
    </row>
    <row r="8" spans="1:20" x14ac:dyDescent="0.2">
      <c r="A8" s="2">
        <v>5</v>
      </c>
      <c r="B8" s="2" t="s">
        <v>116</v>
      </c>
      <c r="C8" s="9">
        <v>35</v>
      </c>
      <c r="D8" s="9">
        <v>31</v>
      </c>
      <c r="E8" s="10">
        <v>-2.5</v>
      </c>
      <c r="F8" s="2">
        <v>-112</v>
      </c>
      <c r="G8" s="4">
        <f t="shared" si="1"/>
        <v>-2.6666666666666665</v>
      </c>
      <c r="H8" s="4">
        <f>(C8-D8) + E8</f>
        <v>1.5</v>
      </c>
      <c r="I8" s="3">
        <v>50</v>
      </c>
      <c r="J8" s="4">
        <f>I8/2 - E8/2</f>
        <v>26.25</v>
      </c>
      <c r="K8" s="4">
        <f>C8-J8</f>
        <v>8.75</v>
      </c>
      <c r="L8" s="4">
        <f>I8/2 + E8/2</f>
        <v>23.75</v>
      </c>
      <c r="M8" s="4">
        <f>D8-L8</f>
        <v>7.25</v>
      </c>
      <c r="N8" s="4">
        <f t="shared" si="2"/>
        <v>1.3333333333333335</v>
      </c>
      <c r="O8" s="4">
        <f t="shared" si="3"/>
        <v>26.333333333333332</v>
      </c>
      <c r="P8" s="4">
        <f t="shared" si="4"/>
        <v>8.6666666666666679</v>
      </c>
      <c r="Q8" s="4">
        <f t="shared" si="5"/>
        <v>23.666666666666668</v>
      </c>
      <c r="R8" s="4">
        <f t="shared" si="6"/>
        <v>7.3333333333333321</v>
      </c>
      <c r="S8" s="2">
        <v>-135</v>
      </c>
      <c r="T8" s="11">
        <f t="shared" si="0"/>
        <v>0.57446808510638303</v>
      </c>
    </row>
    <row r="9" spans="1:20" x14ac:dyDescent="0.2">
      <c r="A9" s="2">
        <v>6</v>
      </c>
      <c r="B9" s="2" t="s">
        <v>117</v>
      </c>
      <c r="C9" s="9">
        <v>27</v>
      </c>
      <c r="D9" s="9">
        <v>19</v>
      </c>
      <c r="E9" s="10">
        <v>6</v>
      </c>
      <c r="F9" s="2">
        <v>-111</v>
      </c>
      <c r="G9" s="4">
        <f t="shared" si="1"/>
        <v>6.3428571428571434</v>
      </c>
      <c r="H9" s="4">
        <f>(C9-D9) + E9</f>
        <v>14</v>
      </c>
      <c r="I9" s="3">
        <v>46.5</v>
      </c>
      <c r="J9" s="4">
        <f>I9/2 - E9/2</f>
        <v>20.25</v>
      </c>
      <c r="K9" s="4">
        <f>C9-J9</f>
        <v>6.75</v>
      </c>
      <c r="L9" s="4">
        <f>I9/2 + E9/2</f>
        <v>26.25</v>
      </c>
      <c r="M9" s="4">
        <f>D9-L9</f>
        <v>-7.25</v>
      </c>
      <c r="N9" s="4">
        <f t="shared" si="2"/>
        <v>14.342857142857143</v>
      </c>
      <c r="O9" s="4">
        <f t="shared" si="3"/>
        <v>20.078571428571429</v>
      </c>
      <c r="P9" s="4">
        <f t="shared" si="4"/>
        <v>6.9214285714285708</v>
      </c>
      <c r="Q9" s="4">
        <f t="shared" si="5"/>
        <v>26.421428571428571</v>
      </c>
      <c r="R9" s="4">
        <f t="shared" si="6"/>
        <v>-7.4214285714285708</v>
      </c>
      <c r="S9" s="2">
        <v>189</v>
      </c>
      <c r="T9" s="11">
        <f t="shared" si="0"/>
        <v>0.34602076124567471</v>
      </c>
    </row>
    <row r="10" spans="1:20" x14ac:dyDescent="0.2">
      <c r="A10" s="2">
        <v>7</v>
      </c>
      <c r="B10" s="2" t="s">
        <v>118</v>
      </c>
      <c r="C10" s="2">
        <v>14</v>
      </c>
      <c r="D10" s="2">
        <v>24</v>
      </c>
      <c r="E10" s="3">
        <v>5.5</v>
      </c>
      <c r="F10" s="2">
        <v>-110</v>
      </c>
      <c r="G10" s="4">
        <f t="shared" si="1"/>
        <v>5.7619047619047619</v>
      </c>
      <c r="H10" s="4">
        <f>(C10-D10) + E10</f>
        <v>-4.5</v>
      </c>
      <c r="I10" s="3">
        <v>51</v>
      </c>
      <c r="J10" s="4">
        <f>I10/2 - E10/2</f>
        <v>22.75</v>
      </c>
      <c r="K10" s="4">
        <f>C10-J10</f>
        <v>-8.75</v>
      </c>
      <c r="L10" s="4">
        <f>I10/2 + E10/2</f>
        <v>28.25</v>
      </c>
      <c r="M10" s="4">
        <f>D10-L10</f>
        <v>-4.25</v>
      </c>
      <c r="N10" s="4">
        <f t="shared" si="2"/>
        <v>-4.2380952380952381</v>
      </c>
      <c r="O10" s="4">
        <f t="shared" si="3"/>
        <v>22.61904761904762</v>
      </c>
      <c r="P10" s="4">
        <f t="shared" si="4"/>
        <v>-8.6190476190476204</v>
      </c>
      <c r="Q10" s="4">
        <f t="shared" si="5"/>
        <v>28.38095238095238</v>
      </c>
      <c r="R10" s="4">
        <f t="shared" si="6"/>
        <v>-4.3809523809523796</v>
      </c>
      <c r="S10" s="2">
        <v>174</v>
      </c>
      <c r="T10" s="11">
        <f t="shared" si="0"/>
        <v>0.36496350364963503</v>
      </c>
    </row>
    <row r="11" spans="1:20" x14ac:dyDescent="0.2">
      <c r="A11" s="2">
        <v>8</v>
      </c>
      <c r="B11" s="2" t="s">
        <v>119</v>
      </c>
      <c r="C11" s="9">
        <v>42</v>
      </c>
      <c r="D11" s="9">
        <v>21</v>
      </c>
      <c r="E11" s="10">
        <v>-4.5</v>
      </c>
      <c r="F11" s="2">
        <v>-111</v>
      </c>
      <c r="G11" s="4">
        <f t="shared" si="1"/>
        <v>-4.7571428571428571</v>
      </c>
      <c r="H11" s="4">
        <f>(C11-D11) + E11</f>
        <v>16.5</v>
      </c>
      <c r="I11" s="3">
        <v>57.5</v>
      </c>
      <c r="J11" s="4">
        <f>I11/2 - E11/2</f>
        <v>31</v>
      </c>
      <c r="K11" s="4">
        <f>C11-J11</f>
        <v>11</v>
      </c>
      <c r="L11" s="4">
        <f>I11/2 + E11/2</f>
        <v>26.5</v>
      </c>
      <c r="M11" s="4">
        <f>D11-L11</f>
        <v>-5.5</v>
      </c>
      <c r="N11" s="4">
        <f t="shared" si="2"/>
        <v>16.242857142857144</v>
      </c>
      <c r="O11" s="4">
        <f t="shared" si="3"/>
        <v>31.12857142857143</v>
      </c>
      <c r="P11" s="4">
        <f t="shared" si="4"/>
        <v>10.87142857142857</v>
      </c>
      <c r="Q11" s="4">
        <f t="shared" si="5"/>
        <v>26.37142857142857</v>
      </c>
      <c r="R11" s="4">
        <f t="shared" si="6"/>
        <v>-5.3714285714285701</v>
      </c>
      <c r="S11" s="2">
        <v>-194</v>
      </c>
      <c r="T11" s="11">
        <f t="shared" si="0"/>
        <v>0.65986394557823125</v>
      </c>
    </row>
    <row r="12" spans="1:20" x14ac:dyDescent="0.2">
      <c r="A12" s="2">
        <v>9</v>
      </c>
      <c r="B12" s="2" t="s">
        <v>120</v>
      </c>
      <c r="C12" s="9">
        <v>35</v>
      </c>
      <c r="D12" s="9">
        <v>31</v>
      </c>
      <c r="E12" s="10">
        <v>-2.5</v>
      </c>
      <c r="F12" s="2">
        <v>-112</v>
      </c>
      <c r="G12" s="4">
        <f t="shared" si="1"/>
        <v>-2.6666666666666665</v>
      </c>
      <c r="H12" s="4">
        <f>(C12-D12) + E12</f>
        <v>1.5</v>
      </c>
      <c r="I12" s="3">
        <v>56</v>
      </c>
      <c r="J12" s="4">
        <f>I12/2 - E12/2</f>
        <v>29.25</v>
      </c>
      <c r="K12" s="4">
        <f>C12-J12</f>
        <v>5.75</v>
      </c>
      <c r="L12" s="4">
        <f>I12/2 + E12/2</f>
        <v>26.75</v>
      </c>
      <c r="M12" s="4">
        <f>D12-L12</f>
        <v>4.25</v>
      </c>
      <c r="N12" s="4">
        <f t="shared" si="2"/>
        <v>1.3333333333333335</v>
      </c>
      <c r="O12" s="4">
        <f t="shared" si="3"/>
        <v>29.333333333333332</v>
      </c>
      <c r="P12" s="4">
        <f t="shared" si="4"/>
        <v>5.6666666666666679</v>
      </c>
      <c r="Q12" s="4">
        <f t="shared" si="5"/>
        <v>26.666666666666668</v>
      </c>
      <c r="R12" s="4">
        <f t="shared" si="6"/>
        <v>4.3333333333333321</v>
      </c>
      <c r="S12" s="2">
        <v>-137</v>
      </c>
      <c r="T12" s="11">
        <f t="shared" si="0"/>
        <v>0.57805907172995785</v>
      </c>
    </row>
    <row r="13" spans="1:20" x14ac:dyDescent="0.2">
      <c r="A13" s="2">
        <v>10</v>
      </c>
      <c r="B13" s="2" t="s">
        <v>121</v>
      </c>
      <c r="C13" s="9">
        <v>24</v>
      </c>
      <c r="D13" s="9">
        <v>14</v>
      </c>
      <c r="E13" s="10">
        <v>7.5</v>
      </c>
      <c r="F13" s="2">
        <v>-112</v>
      </c>
      <c r="G13" s="4">
        <f t="shared" si="1"/>
        <v>8</v>
      </c>
      <c r="H13" s="4">
        <f>(C13-D13) + E13</f>
        <v>17.5</v>
      </c>
      <c r="I13" s="3">
        <v>51.5</v>
      </c>
      <c r="J13" s="4">
        <f>I13/2 - E13/2</f>
        <v>22</v>
      </c>
      <c r="K13" s="4">
        <f>C13-J13</f>
        <v>2</v>
      </c>
      <c r="L13" s="4">
        <f>I13/2 + E13/2</f>
        <v>29.5</v>
      </c>
      <c r="M13" s="4">
        <f>D13-L13</f>
        <v>-15.5</v>
      </c>
      <c r="N13" s="4">
        <f t="shared" si="2"/>
        <v>18</v>
      </c>
      <c r="O13" s="4">
        <f t="shared" si="3"/>
        <v>21.75</v>
      </c>
      <c r="P13" s="4">
        <f t="shared" si="4"/>
        <v>2.25</v>
      </c>
      <c r="Q13" s="4">
        <f t="shared" si="5"/>
        <v>29.75</v>
      </c>
      <c r="R13" s="4">
        <f t="shared" si="6"/>
        <v>-15.75</v>
      </c>
      <c r="S13" s="2">
        <v>236</v>
      </c>
      <c r="T13" s="11">
        <f t="shared" si="0"/>
        <v>0.29761904761904762</v>
      </c>
    </row>
    <row r="14" spans="1:20" x14ac:dyDescent="0.2">
      <c r="A14" s="2">
        <v>11</v>
      </c>
      <c r="B14" s="2" t="s">
        <v>122</v>
      </c>
      <c r="C14" s="9">
        <v>28</v>
      </c>
      <c r="D14" s="9">
        <v>23</v>
      </c>
      <c r="E14" s="10">
        <v>-3.5</v>
      </c>
      <c r="F14" s="2">
        <v>-104</v>
      </c>
      <c r="G14" s="4">
        <f t="shared" si="1"/>
        <v>-3.4666666666666668</v>
      </c>
      <c r="H14" s="4">
        <f>(C14-D14) + E14</f>
        <v>1.5</v>
      </c>
      <c r="I14" s="3">
        <v>49.5</v>
      </c>
      <c r="J14" s="4">
        <f>I14/2 - E14/2</f>
        <v>26.5</v>
      </c>
      <c r="K14" s="4">
        <f>C14-J14</f>
        <v>1.5</v>
      </c>
      <c r="L14" s="4">
        <f>I14/2 + E14/2</f>
        <v>23</v>
      </c>
      <c r="M14" s="4">
        <f>D14-L14</f>
        <v>0</v>
      </c>
      <c r="N14" s="4">
        <f t="shared" si="2"/>
        <v>1.5333333333333332</v>
      </c>
      <c r="O14" s="4">
        <f t="shared" si="3"/>
        <v>26.483333333333334</v>
      </c>
      <c r="P14" s="4">
        <f t="shared" si="4"/>
        <v>1.5166666666666657</v>
      </c>
      <c r="Q14" s="4">
        <f t="shared" si="5"/>
        <v>23.016666666666666</v>
      </c>
      <c r="R14" s="4">
        <f t="shared" si="6"/>
        <v>-1.6666666666665719E-2</v>
      </c>
      <c r="S14" s="2">
        <v>-163</v>
      </c>
      <c r="T14" s="11">
        <f t="shared" si="0"/>
        <v>0.61977186311787069</v>
      </c>
    </row>
    <row r="15" spans="1:20" x14ac:dyDescent="0.2">
      <c r="A15" s="2">
        <v>12</v>
      </c>
      <c r="B15" s="2" t="s">
        <v>123</v>
      </c>
      <c r="C15" s="9">
        <v>49</v>
      </c>
      <c r="D15" s="9">
        <v>7</v>
      </c>
      <c r="E15" s="10">
        <v>-7.5</v>
      </c>
      <c r="F15" s="2">
        <v>-109</v>
      </c>
      <c r="G15" s="4">
        <f t="shared" si="1"/>
        <v>-7.7857142857142865</v>
      </c>
      <c r="H15" s="4">
        <f>(C15-D15) + E15</f>
        <v>34.5</v>
      </c>
      <c r="I15" s="3">
        <v>53.5</v>
      </c>
      <c r="J15" s="4">
        <f>I15/2 - E15/2</f>
        <v>30.5</v>
      </c>
      <c r="K15" s="4">
        <f>C15-J15</f>
        <v>18.5</v>
      </c>
      <c r="L15" s="4">
        <f>I15/2 + E15/2</f>
        <v>23</v>
      </c>
      <c r="M15" s="4">
        <f>D15-L15</f>
        <v>-16</v>
      </c>
      <c r="N15" s="4">
        <f t="shared" si="2"/>
        <v>34.214285714285715</v>
      </c>
      <c r="O15" s="4">
        <f t="shared" si="3"/>
        <v>30.642857142857142</v>
      </c>
      <c r="P15" s="4">
        <f t="shared" si="4"/>
        <v>18.357142857142858</v>
      </c>
      <c r="Q15" s="4">
        <f t="shared" si="5"/>
        <v>22.857142857142858</v>
      </c>
      <c r="R15" s="4">
        <f t="shared" si="6"/>
        <v>-15.857142857142858</v>
      </c>
      <c r="S15" s="2">
        <v>-299</v>
      </c>
      <c r="T15" s="11">
        <f t="shared" si="0"/>
        <v>0.74937343358395991</v>
      </c>
    </row>
    <row r="16" spans="1:20" x14ac:dyDescent="0.2">
      <c r="A16" s="2" t="s">
        <v>125</v>
      </c>
      <c r="B16" s="2" t="s">
        <v>124</v>
      </c>
      <c r="C16" s="9">
        <v>45</v>
      </c>
      <c r="D16" s="9">
        <v>19</v>
      </c>
      <c r="E16" s="10">
        <v>1.5</v>
      </c>
      <c r="F16" s="2">
        <v>-111</v>
      </c>
      <c r="G16" s="4">
        <f t="shared" si="1"/>
        <v>1.5857142857142859</v>
      </c>
      <c r="H16" s="4">
        <f>(C16-D16) + E16</f>
        <v>27.5</v>
      </c>
      <c r="I16" s="3">
        <v>50.5</v>
      </c>
      <c r="J16" s="4">
        <f>I16/2 - E16/2</f>
        <v>24.5</v>
      </c>
      <c r="K16" s="4">
        <f>C16-J16</f>
        <v>20.5</v>
      </c>
      <c r="L16" s="4">
        <f>I16/2 + E16/2</f>
        <v>26</v>
      </c>
      <c r="M16" s="4">
        <f>D16-L16</f>
        <v>-7</v>
      </c>
      <c r="N16" s="4">
        <f t="shared" si="2"/>
        <v>27.585714285714285</v>
      </c>
      <c r="O16" s="4">
        <f t="shared" si="3"/>
        <v>24.457142857142856</v>
      </c>
      <c r="P16" s="4">
        <f t="shared" si="4"/>
        <v>20.542857142857144</v>
      </c>
      <c r="Q16" s="4">
        <f t="shared" si="5"/>
        <v>26.042857142857144</v>
      </c>
      <c r="R16" s="4">
        <f t="shared" si="6"/>
        <v>-7.0428571428571445</v>
      </c>
      <c r="S16" s="2">
        <v>100</v>
      </c>
      <c r="T16" s="11">
        <f t="shared" si="0"/>
        <v>0.5</v>
      </c>
    </row>
    <row r="18" spans="1:20" s="4" customFormat="1" x14ac:dyDescent="0.2">
      <c r="A18" s="5" t="s">
        <v>25</v>
      </c>
      <c r="C18" s="4">
        <f>SUM(C4:C16)</f>
        <v>430</v>
      </c>
      <c r="D18" s="4">
        <f>SUM(D4:D16)</f>
        <v>277</v>
      </c>
      <c r="E18" s="4">
        <f t="shared" ref="E18:F18" si="7">SUM(E4:E16)</f>
        <v>-5</v>
      </c>
      <c r="F18" s="4">
        <f t="shared" si="7"/>
        <v>-1437</v>
      </c>
      <c r="G18" s="4">
        <f>SUM(G4:G16)</f>
        <v>-4.9333333333333336</v>
      </c>
      <c r="H18" s="4">
        <f>SUM(H4:H16)</f>
        <v>148</v>
      </c>
      <c r="I18" s="4">
        <f>SUM(I4:I16)</f>
        <v>688</v>
      </c>
      <c r="J18" s="4">
        <f>SUM(J4:J16)</f>
        <v>346.5</v>
      </c>
      <c r="K18" s="4">
        <f>SUM(K4:K16)</f>
        <v>83.5</v>
      </c>
      <c r="L18" s="4">
        <f>SUM(L4:L16)</f>
        <v>341.5</v>
      </c>
      <c r="M18" s="4">
        <f>SUM(M3:M16)</f>
        <v>-64.5</v>
      </c>
      <c r="N18" s="4">
        <f t="shared" ref="N18:R18" si="8">SUM(N3:N16)</f>
        <v>148.06666666666666</v>
      </c>
      <c r="O18" s="4">
        <f t="shared" si="8"/>
        <v>346.4666666666667</v>
      </c>
      <c r="P18" s="4">
        <f t="shared" si="8"/>
        <v>83.533333333333331</v>
      </c>
      <c r="Q18" s="4">
        <f t="shared" si="8"/>
        <v>341.5333333333333</v>
      </c>
      <c r="R18" s="4">
        <f t="shared" si="8"/>
        <v>-64.533333333333331</v>
      </c>
    </row>
    <row r="19" spans="1:20" s="7" customFormat="1" x14ac:dyDescent="0.2">
      <c r="A19" s="6" t="s">
        <v>26</v>
      </c>
      <c r="C19" s="7">
        <f t="shared" ref="C19:S19" si="9">AVERAGE(C4:C16)</f>
        <v>33.07692307692308</v>
      </c>
      <c r="D19" s="7">
        <f t="shared" si="9"/>
        <v>21.307692307692307</v>
      </c>
      <c r="E19" s="7">
        <f t="shared" si="9"/>
        <v>-0.38461538461538464</v>
      </c>
      <c r="F19" s="7">
        <f t="shared" si="9"/>
        <v>-110.53846153846153</v>
      </c>
      <c r="G19" s="4">
        <f>AVERAGE(G4:G16)</f>
        <v>-0.37948717948717953</v>
      </c>
      <c r="H19" s="7">
        <f t="shared" si="9"/>
        <v>11.384615384615385</v>
      </c>
      <c r="I19" s="7">
        <f t="shared" si="9"/>
        <v>52.92307692307692</v>
      </c>
      <c r="J19" s="7">
        <f t="shared" si="9"/>
        <v>26.653846153846153</v>
      </c>
      <c r="K19" s="7">
        <f t="shared" si="9"/>
        <v>6.4230769230769234</v>
      </c>
      <c r="L19" s="7">
        <f t="shared" si="9"/>
        <v>26.26923076923077</v>
      </c>
      <c r="M19" s="7">
        <f t="shared" si="9"/>
        <v>-4.9615384615384617</v>
      </c>
      <c r="N19" s="7">
        <f t="shared" si="9"/>
        <v>11.38974358974359</v>
      </c>
      <c r="O19" s="7">
        <f t="shared" si="9"/>
        <v>26.651282051282053</v>
      </c>
      <c r="P19" s="7">
        <f t="shared" si="9"/>
        <v>6.4256410256410259</v>
      </c>
      <c r="Q19" s="7">
        <f t="shared" si="9"/>
        <v>26.271794871794871</v>
      </c>
      <c r="R19" s="7">
        <f>AVERAGE(R4:R16)</f>
        <v>-4.9641025641025642</v>
      </c>
      <c r="S19" s="7">
        <f t="shared" si="9"/>
        <v>-32.07692307692308</v>
      </c>
      <c r="T19" s="8">
        <f>AVERAGE(T4:T17)</f>
        <v>0.53237315067200774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F837-AFB7-4647-899E-B7E82948E84E}">
  <sheetPr>
    <tabColor rgb="FFC00000"/>
  </sheetPr>
  <dimension ref="A1:T18"/>
  <sheetViews>
    <sheetView zoomScale="50" zoomScaleNormal="100" workbookViewId="0">
      <selection activeCell="Q26" sqref="Q26"/>
    </sheetView>
  </sheetViews>
  <sheetFormatPr baseColWidth="10" defaultColWidth="9.83203125" defaultRowHeight="15" x14ac:dyDescent="0.2"/>
  <cols>
    <col min="1" max="1" width="22.33203125" style="2" bestFit="1" customWidth="1"/>
    <col min="2" max="2" width="27.33203125" style="2" bestFit="1" customWidth="1"/>
    <col min="3" max="3" width="13.83203125" style="2" bestFit="1" customWidth="1"/>
    <col min="4" max="4" width="14.83203125" style="2" bestFit="1" customWidth="1"/>
    <col min="5" max="5" width="17.6640625" style="2" bestFit="1" customWidth="1"/>
    <col min="6" max="6" width="16.5" style="2" bestFit="1" customWidth="1"/>
    <col min="7" max="7" width="15.5" style="2" bestFit="1" customWidth="1"/>
    <col min="8" max="8" width="36" style="2" bestFit="1" customWidth="1"/>
    <col min="9" max="9" width="9.33203125" style="2" bestFit="1" customWidth="1"/>
    <col min="10" max="10" width="24.83203125" style="2" bestFit="1" customWidth="1"/>
    <col min="11" max="11" width="33.5" style="2" bestFit="1" customWidth="1"/>
    <col min="12" max="12" width="25.5" style="2" bestFit="1" customWidth="1"/>
    <col min="13" max="13" width="38" style="2" bestFit="1" customWidth="1"/>
    <col min="14" max="14" width="33.5" style="2" bestFit="1" customWidth="1"/>
    <col min="15" max="15" width="22.33203125" style="2" bestFit="1" customWidth="1"/>
    <col min="16" max="16" width="31.33203125" style="2" bestFit="1" customWidth="1"/>
    <col min="17" max="17" width="23" style="2" bestFit="1" customWidth="1"/>
    <col min="18" max="18" width="35.6640625" style="2" bestFit="1" customWidth="1"/>
    <col min="19" max="19" width="19.33203125" style="2" bestFit="1" customWidth="1"/>
    <col min="20" max="20" width="20.6640625" style="2" bestFit="1" customWidth="1"/>
    <col min="21" max="16384" width="9.83203125" style="2"/>
  </cols>
  <sheetData>
    <row r="1" spans="1:20" x14ac:dyDescent="0.2">
      <c r="A1" s="1" t="s">
        <v>126</v>
      </c>
      <c r="B1" s="1" t="s">
        <v>128</v>
      </c>
      <c r="C1" s="1" t="s">
        <v>127</v>
      </c>
      <c r="D1" s="1" t="s">
        <v>53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129</v>
      </c>
      <c r="C4" s="9">
        <v>63</v>
      </c>
      <c r="D4" s="9">
        <v>0</v>
      </c>
      <c r="E4" s="3">
        <v>-34</v>
      </c>
      <c r="F4" s="2">
        <v>-110</v>
      </c>
      <c r="G4" s="4">
        <f>E4*(F4/-105)</f>
        <v>-35.61904761904762</v>
      </c>
      <c r="H4" s="4">
        <f>(C4-D4) + E4</f>
        <v>29</v>
      </c>
      <c r="I4" s="3">
        <v>59.5</v>
      </c>
      <c r="J4" s="4">
        <f>I4/2 - E4/2</f>
        <v>46.75</v>
      </c>
      <c r="K4" s="4">
        <f>C4-J4</f>
        <v>16.25</v>
      </c>
      <c r="L4" s="4">
        <f>I4/2 + E4/2</f>
        <v>12.75</v>
      </c>
      <c r="M4" s="4">
        <f>D4-L4</f>
        <v>-12.75</v>
      </c>
      <c r="N4" s="4">
        <f>(C4-D4) + G4</f>
        <v>27.38095238095238</v>
      </c>
      <c r="O4" s="4">
        <f>I4/2 - G4/2</f>
        <v>47.55952380952381</v>
      </c>
      <c r="P4" s="4">
        <f>C4-O4</f>
        <v>15.44047619047619</v>
      </c>
      <c r="Q4" s="4">
        <f>I4/2 + G4/2</f>
        <v>11.94047619047619</v>
      </c>
      <c r="R4" s="4">
        <f>D4-Q4</f>
        <v>-11.94047619047619</v>
      </c>
      <c r="S4" s="2">
        <v>-14508</v>
      </c>
      <c r="T4" s="11">
        <f t="shared" ref="T4:T15" si="0">IF(S4&gt;0,100/(100+S4),ABS(S4)/(100+ABS(S4)))</f>
        <v>0.99315443592552022</v>
      </c>
    </row>
    <row r="5" spans="1:20" x14ac:dyDescent="0.2">
      <c r="A5" s="2">
        <v>2</v>
      </c>
      <c r="B5" s="2" t="s">
        <v>130</v>
      </c>
      <c r="C5" s="9">
        <v>42</v>
      </c>
      <c r="D5" s="9">
        <v>16</v>
      </c>
      <c r="E5" s="3">
        <v>-30.5</v>
      </c>
      <c r="F5" s="2">
        <v>-111</v>
      </c>
      <c r="G5" s="4">
        <f t="shared" ref="G5:G15" si="1">E5*(F5/-105)</f>
        <v>-32.24285714285714</v>
      </c>
      <c r="H5" s="4">
        <f>(C5-D5) + E5</f>
        <v>-4.5</v>
      </c>
      <c r="I5" s="3">
        <v>64.5</v>
      </c>
      <c r="J5" s="4">
        <f>I5/2 - E5/2</f>
        <v>47.5</v>
      </c>
      <c r="K5" s="4">
        <f>C5-J5</f>
        <v>-5.5</v>
      </c>
      <c r="L5" s="4">
        <f>I5/2 + E5/2</f>
        <v>17</v>
      </c>
      <c r="M5" s="4">
        <f>D5-L5</f>
        <v>-1</v>
      </c>
      <c r="N5" s="4">
        <f t="shared" ref="N5:N15" si="2">(C5-D5) + G5</f>
        <v>-6.2428571428571402</v>
      </c>
      <c r="O5" s="4">
        <f t="shared" ref="O5:O15" si="3">I5/2 - G5/2</f>
        <v>48.371428571428567</v>
      </c>
      <c r="P5" s="4">
        <f t="shared" ref="P5:P15" si="4">C5-O5</f>
        <v>-6.3714285714285666</v>
      </c>
      <c r="Q5" s="4">
        <f t="shared" ref="Q5:Q15" si="5">I5/2 + G5/2</f>
        <v>16.12857142857143</v>
      </c>
      <c r="R5" s="4">
        <f t="shared" ref="R5:R15" si="6">D5-Q5</f>
        <v>-0.12857142857142989</v>
      </c>
      <c r="S5" s="2">
        <v>-9023</v>
      </c>
      <c r="T5" s="11">
        <f t="shared" si="0"/>
        <v>0.9890386934122547</v>
      </c>
    </row>
    <row r="6" spans="1:20" x14ac:dyDescent="0.2">
      <c r="A6" s="2">
        <v>3</v>
      </c>
      <c r="B6" s="2" t="s">
        <v>18</v>
      </c>
      <c r="C6" s="9">
        <v>42</v>
      </c>
      <c r="D6" s="9">
        <v>10</v>
      </c>
      <c r="E6" s="10">
        <v>-14.5</v>
      </c>
      <c r="F6" s="2">
        <v>-110</v>
      </c>
      <c r="G6" s="4">
        <f t="shared" si="1"/>
        <v>-15.190476190476192</v>
      </c>
      <c r="H6" s="4">
        <f>(C6-D6) + E6</f>
        <v>17.5</v>
      </c>
      <c r="I6" s="3">
        <v>47.5</v>
      </c>
      <c r="J6" s="4">
        <f>I6/2 - E6/2</f>
        <v>31</v>
      </c>
      <c r="K6" s="4">
        <f>C6-J6</f>
        <v>11</v>
      </c>
      <c r="L6" s="4">
        <f>I6/2 + E6/2</f>
        <v>16.5</v>
      </c>
      <c r="M6" s="4">
        <f>D6-L6</f>
        <v>-6.5</v>
      </c>
      <c r="N6" s="4">
        <f t="shared" si="2"/>
        <v>16.80952380952381</v>
      </c>
      <c r="O6" s="4">
        <f t="shared" si="3"/>
        <v>31.345238095238095</v>
      </c>
      <c r="P6" s="4">
        <f t="shared" si="4"/>
        <v>10.654761904761905</v>
      </c>
      <c r="Q6" s="4">
        <f t="shared" si="5"/>
        <v>16.154761904761905</v>
      </c>
      <c r="R6" s="4">
        <f t="shared" si="6"/>
        <v>-6.1547619047619051</v>
      </c>
      <c r="S6" s="2">
        <v>-788</v>
      </c>
      <c r="T6" s="11">
        <f t="shared" si="0"/>
        <v>0.88738738738738743</v>
      </c>
    </row>
    <row r="7" spans="1:20" x14ac:dyDescent="0.2">
      <c r="A7" s="2">
        <v>4</v>
      </c>
      <c r="B7" s="2" t="s">
        <v>72</v>
      </c>
      <c r="C7" s="9">
        <v>41</v>
      </c>
      <c r="D7" s="9">
        <v>34</v>
      </c>
      <c r="E7" s="10">
        <v>2</v>
      </c>
      <c r="F7" s="2">
        <v>-110</v>
      </c>
      <c r="G7" s="4">
        <f t="shared" si="1"/>
        <v>2.0952380952380953</v>
      </c>
      <c r="H7" s="4">
        <f>(C7-D7) + E7</f>
        <v>9</v>
      </c>
      <c r="I7" s="3">
        <v>50</v>
      </c>
      <c r="J7" s="4">
        <f>I7/2 - E7/2</f>
        <v>24</v>
      </c>
      <c r="K7" s="4">
        <f>C7-J7</f>
        <v>17</v>
      </c>
      <c r="L7" s="4">
        <f>I7/2 + E7/2</f>
        <v>26</v>
      </c>
      <c r="M7" s="4">
        <f>D7-L7</f>
        <v>8</v>
      </c>
      <c r="N7" s="4">
        <f t="shared" si="2"/>
        <v>9.0952380952380949</v>
      </c>
      <c r="O7" s="4">
        <f t="shared" si="3"/>
        <v>23.952380952380953</v>
      </c>
      <c r="P7" s="4">
        <f t="shared" si="4"/>
        <v>17.047619047619047</v>
      </c>
      <c r="Q7" s="4">
        <f t="shared" si="5"/>
        <v>26.047619047619047</v>
      </c>
      <c r="R7" s="4">
        <f t="shared" si="6"/>
        <v>7.9523809523809526</v>
      </c>
      <c r="S7" s="2">
        <v>103</v>
      </c>
      <c r="T7" s="11">
        <f t="shared" si="0"/>
        <v>0.49261083743842365</v>
      </c>
    </row>
    <row r="8" spans="1:20" x14ac:dyDescent="0.2">
      <c r="A8" s="2">
        <v>5</v>
      </c>
      <c r="B8" s="2" t="s">
        <v>73</v>
      </c>
      <c r="C8" s="2">
        <v>35</v>
      </c>
      <c r="D8" s="2">
        <v>40</v>
      </c>
      <c r="E8" s="3">
        <v>-22.5</v>
      </c>
      <c r="F8" s="2">
        <v>-110</v>
      </c>
      <c r="G8" s="4">
        <f t="shared" si="1"/>
        <v>-23.571428571428573</v>
      </c>
      <c r="H8" s="4">
        <f>(C8-D8) + E8</f>
        <v>-27.5</v>
      </c>
      <c r="I8" s="3">
        <v>53.5</v>
      </c>
      <c r="J8" s="4">
        <f>I8/2 - E8/2</f>
        <v>38</v>
      </c>
      <c r="K8" s="4">
        <f>C8-J8</f>
        <v>-3</v>
      </c>
      <c r="L8" s="4">
        <f>I8/2 + E8/2</f>
        <v>15.5</v>
      </c>
      <c r="M8" s="4">
        <f>D8-L8</f>
        <v>24.5</v>
      </c>
      <c r="N8" s="4">
        <f t="shared" si="2"/>
        <v>-28.571428571428573</v>
      </c>
      <c r="O8" s="4">
        <f t="shared" si="3"/>
        <v>38.535714285714285</v>
      </c>
      <c r="P8" s="4">
        <f t="shared" si="4"/>
        <v>-3.5357142857142847</v>
      </c>
      <c r="Q8" s="4">
        <f t="shared" si="5"/>
        <v>14.964285714285714</v>
      </c>
      <c r="R8" s="4">
        <f t="shared" si="6"/>
        <v>25.035714285714285</v>
      </c>
      <c r="S8" s="2">
        <v>-2391</v>
      </c>
      <c r="T8" s="11">
        <f t="shared" si="0"/>
        <v>0.95985547972701724</v>
      </c>
    </row>
    <row r="9" spans="1:20" x14ac:dyDescent="0.2">
      <c r="A9" s="2">
        <v>6</v>
      </c>
      <c r="B9" s="2" t="s">
        <v>131</v>
      </c>
      <c r="C9" s="9">
        <v>27</v>
      </c>
      <c r="D9" s="9">
        <v>25</v>
      </c>
      <c r="E9" s="3">
        <v>-21.5</v>
      </c>
      <c r="F9" s="2">
        <v>-108</v>
      </c>
      <c r="G9" s="4">
        <f t="shared" si="1"/>
        <v>-22.114285714285714</v>
      </c>
      <c r="H9" s="4">
        <f>(C9-D9) + E9</f>
        <v>-19.5</v>
      </c>
      <c r="I9" s="3">
        <v>50.5</v>
      </c>
      <c r="J9" s="4">
        <f>I9/2 - E9/2</f>
        <v>36</v>
      </c>
      <c r="K9" s="4">
        <f>C9-J9</f>
        <v>-9</v>
      </c>
      <c r="L9" s="4">
        <f>I9/2 + E9/2</f>
        <v>14.5</v>
      </c>
      <c r="M9" s="4">
        <f>D9-L9</f>
        <v>10.5</v>
      </c>
      <c r="N9" s="4">
        <f t="shared" si="2"/>
        <v>-20.114285714285714</v>
      </c>
      <c r="O9" s="4">
        <f t="shared" si="3"/>
        <v>36.307142857142857</v>
      </c>
      <c r="P9" s="4">
        <f t="shared" si="4"/>
        <v>-9.3071428571428569</v>
      </c>
      <c r="Q9" s="4">
        <f t="shared" si="5"/>
        <v>14.192857142857143</v>
      </c>
      <c r="R9" s="4">
        <f t="shared" si="6"/>
        <v>10.807142857142857</v>
      </c>
      <c r="S9" s="2">
        <v>-1956</v>
      </c>
      <c r="T9" s="11">
        <f t="shared" si="0"/>
        <v>0.95136186770428011</v>
      </c>
    </row>
    <row r="10" spans="1:20" x14ac:dyDescent="0.2">
      <c r="A10" s="2">
        <v>7</v>
      </c>
      <c r="B10" s="2" t="s">
        <v>49</v>
      </c>
      <c r="C10" s="2">
        <v>17</v>
      </c>
      <c r="D10" s="2">
        <v>24</v>
      </c>
      <c r="E10" s="3">
        <v>-3.5</v>
      </c>
      <c r="F10" s="2">
        <v>-107</v>
      </c>
      <c r="G10" s="4">
        <f t="shared" si="1"/>
        <v>-3.5666666666666664</v>
      </c>
      <c r="H10" s="4">
        <f>(C10-D10) + E10</f>
        <v>-10.5</v>
      </c>
      <c r="I10" s="3">
        <v>57.5</v>
      </c>
      <c r="J10" s="4">
        <f>I10/2 - E10/2</f>
        <v>30.5</v>
      </c>
      <c r="K10" s="4">
        <f>C10-J10</f>
        <v>-13.5</v>
      </c>
      <c r="L10" s="4">
        <f>I10/2 + E10/2</f>
        <v>27</v>
      </c>
      <c r="M10" s="4">
        <f>D10-L10</f>
        <v>-3</v>
      </c>
      <c r="N10" s="4">
        <f t="shared" si="2"/>
        <v>-10.566666666666666</v>
      </c>
      <c r="O10" s="4">
        <f t="shared" si="3"/>
        <v>30.533333333333331</v>
      </c>
      <c r="P10" s="4">
        <f t="shared" si="4"/>
        <v>-13.533333333333331</v>
      </c>
      <c r="Q10" s="4">
        <f t="shared" si="5"/>
        <v>26.966666666666669</v>
      </c>
      <c r="R10" s="4">
        <f t="shared" si="6"/>
        <v>-2.9666666666666686</v>
      </c>
      <c r="S10" s="2">
        <v>-167</v>
      </c>
      <c r="T10" s="11">
        <f t="shared" si="0"/>
        <v>0.62546816479400746</v>
      </c>
    </row>
    <row r="11" spans="1:20" x14ac:dyDescent="0.2">
      <c r="A11" s="2">
        <v>8</v>
      </c>
      <c r="B11" s="2" t="s">
        <v>132</v>
      </c>
      <c r="C11" s="9">
        <v>34</v>
      </c>
      <c r="D11" s="9">
        <v>0</v>
      </c>
      <c r="E11" s="3">
        <v>-16</v>
      </c>
      <c r="F11" s="2">
        <v>-109</v>
      </c>
      <c r="G11" s="4">
        <f t="shared" si="1"/>
        <v>-16.609523809523811</v>
      </c>
      <c r="H11" s="4">
        <f>(C11-D11) + E11</f>
        <v>18</v>
      </c>
      <c r="I11" s="3">
        <v>51</v>
      </c>
      <c r="J11" s="4">
        <f>I11/2 - E11/2</f>
        <v>33.5</v>
      </c>
      <c r="K11" s="4">
        <f>C11-J11</f>
        <v>0.5</v>
      </c>
      <c r="L11" s="4">
        <f>I11/2 + E11/2</f>
        <v>17.5</v>
      </c>
      <c r="M11" s="4">
        <f>D11-L11</f>
        <v>-17.5</v>
      </c>
      <c r="N11" s="4">
        <f t="shared" si="2"/>
        <v>17.390476190476189</v>
      </c>
      <c r="O11" s="4">
        <f t="shared" si="3"/>
        <v>33.804761904761904</v>
      </c>
      <c r="P11" s="4">
        <f t="shared" si="4"/>
        <v>0.19523809523809632</v>
      </c>
      <c r="Q11" s="4">
        <f t="shared" si="5"/>
        <v>17.195238095238096</v>
      </c>
      <c r="R11" s="4">
        <f t="shared" si="6"/>
        <v>-17.195238095238096</v>
      </c>
      <c r="S11" s="2">
        <v>-732</v>
      </c>
      <c r="T11" s="11">
        <f t="shared" si="0"/>
        <v>0.87980769230769229</v>
      </c>
    </row>
    <row r="12" spans="1:20" x14ac:dyDescent="0.2">
      <c r="A12" s="2">
        <v>9</v>
      </c>
      <c r="B12" s="2" t="s">
        <v>133</v>
      </c>
      <c r="C12" s="9">
        <v>42</v>
      </c>
      <c r="D12" s="9">
        <v>13</v>
      </c>
      <c r="E12" s="10">
        <v>-3</v>
      </c>
      <c r="F12" s="2">
        <v>-106</v>
      </c>
      <c r="G12" s="4">
        <f t="shared" si="1"/>
        <v>-3.0285714285714285</v>
      </c>
      <c r="H12" s="4">
        <f>(C12-D12) + E12</f>
        <v>26</v>
      </c>
      <c r="I12" s="3">
        <v>59.5</v>
      </c>
      <c r="J12" s="4">
        <f>I12/2 - E12/2</f>
        <v>31.25</v>
      </c>
      <c r="K12" s="4">
        <f>C12-J12</f>
        <v>10.75</v>
      </c>
      <c r="L12" s="4">
        <f>I12/2 + E12/2</f>
        <v>28.25</v>
      </c>
      <c r="M12" s="4">
        <f>D12-L12</f>
        <v>-15.25</v>
      </c>
      <c r="N12" s="4">
        <f t="shared" si="2"/>
        <v>25.971428571428572</v>
      </c>
      <c r="O12" s="4">
        <f t="shared" si="3"/>
        <v>31.264285714285712</v>
      </c>
      <c r="P12" s="4">
        <f t="shared" si="4"/>
        <v>10.735714285714288</v>
      </c>
      <c r="Q12" s="4">
        <f t="shared" si="5"/>
        <v>28.235714285714288</v>
      </c>
      <c r="R12" s="4">
        <f t="shared" si="6"/>
        <v>-15.235714285714288</v>
      </c>
      <c r="S12" s="2">
        <v>-146</v>
      </c>
      <c r="T12" s="11">
        <f t="shared" si="0"/>
        <v>0.5934959349593496</v>
      </c>
    </row>
    <row r="13" spans="1:20" x14ac:dyDescent="0.2">
      <c r="A13" s="2">
        <v>10</v>
      </c>
      <c r="B13" s="2" t="s">
        <v>134</v>
      </c>
      <c r="C13" s="9">
        <v>52</v>
      </c>
      <c r="D13" s="9">
        <v>7</v>
      </c>
      <c r="E13" s="10">
        <v>-42.5</v>
      </c>
      <c r="F13" s="2">
        <v>-113</v>
      </c>
      <c r="G13" s="4">
        <f t="shared" si="1"/>
        <v>-45.738095238095234</v>
      </c>
      <c r="H13" s="4">
        <f>(C13-D13) + E13</f>
        <v>2.5</v>
      </c>
      <c r="I13" s="3">
        <v>58.5</v>
      </c>
      <c r="J13" s="4">
        <f>I13/2 - E13/2</f>
        <v>50.5</v>
      </c>
      <c r="K13" s="4">
        <f>C13-J13</f>
        <v>1.5</v>
      </c>
      <c r="L13" s="4">
        <f>I13/2 + E13/2</f>
        <v>8</v>
      </c>
      <c r="M13" s="4">
        <f>D13-L13</f>
        <v>-1</v>
      </c>
      <c r="N13" s="4">
        <f t="shared" si="2"/>
        <v>-0.7380952380952337</v>
      </c>
      <c r="O13" s="4">
        <f t="shared" si="3"/>
        <v>52.11904761904762</v>
      </c>
      <c r="P13" s="4">
        <f t="shared" si="4"/>
        <v>-0.1190476190476204</v>
      </c>
      <c r="Q13" s="4">
        <f t="shared" si="5"/>
        <v>6.3809523809523832</v>
      </c>
      <c r="R13" s="4">
        <f t="shared" si="6"/>
        <v>0.61904761904761685</v>
      </c>
      <c r="S13" s="2">
        <v>-20000</v>
      </c>
      <c r="T13" s="11">
        <f t="shared" si="0"/>
        <v>0.99502487562189057</v>
      </c>
    </row>
    <row r="14" spans="1:20" x14ac:dyDescent="0.2">
      <c r="A14" s="2">
        <v>11</v>
      </c>
      <c r="B14" s="2" t="s">
        <v>71</v>
      </c>
      <c r="C14" s="2">
        <v>3</v>
      </c>
      <c r="D14" s="2">
        <v>24</v>
      </c>
      <c r="E14" s="3">
        <v>-14</v>
      </c>
      <c r="F14" s="2">
        <v>-109</v>
      </c>
      <c r="G14" s="4">
        <f t="shared" si="1"/>
        <v>-14.533333333333335</v>
      </c>
      <c r="H14" s="4">
        <f>(C14-D14) + E14</f>
        <v>-35</v>
      </c>
      <c r="I14" s="3">
        <v>47</v>
      </c>
      <c r="J14" s="4">
        <f>I14/2 - E14/2</f>
        <v>30.5</v>
      </c>
      <c r="K14" s="4">
        <f>C14-J14</f>
        <v>-27.5</v>
      </c>
      <c r="L14" s="4">
        <f>I14/2 + E14/2</f>
        <v>16.5</v>
      </c>
      <c r="M14" s="4">
        <f>D14-L14</f>
        <v>7.5</v>
      </c>
      <c r="N14" s="4">
        <f t="shared" si="2"/>
        <v>-35.533333333333331</v>
      </c>
      <c r="O14" s="4">
        <f t="shared" si="3"/>
        <v>30.766666666666666</v>
      </c>
      <c r="P14" s="4">
        <f t="shared" si="4"/>
        <v>-27.766666666666666</v>
      </c>
      <c r="Q14" s="4">
        <f t="shared" si="5"/>
        <v>16.233333333333334</v>
      </c>
      <c r="R14" s="4">
        <f t="shared" si="6"/>
        <v>7.7666666666666657</v>
      </c>
      <c r="S14" s="2">
        <v>-637</v>
      </c>
      <c r="T14" s="11">
        <f t="shared" si="0"/>
        <v>0.86431478968792397</v>
      </c>
    </row>
    <row r="15" spans="1:20" x14ac:dyDescent="0.2">
      <c r="A15" s="2">
        <v>12</v>
      </c>
      <c r="B15" s="2" t="s">
        <v>44</v>
      </c>
      <c r="C15" s="9">
        <v>28</v>
      </c>
      <c r="D15" s="9">
        <v>14</v>
      </c>
      <c r="E15" s="10">
        <v>-10.5</v>
      </c>
      <c r="F15" s="2">
        <v>-111</v>
      </c>
      <c r="G15" s="4">
        <f t="shared" si="1"/>
        <v>-11.1</v>
      </c>
      <c r="H15" s="4">
        <f>(C15-D15) + E15</f>
        <v>3.5</v>
      </c>
      <c r="I15" s="3">
        <v>51</v>
      </c>
      <c r="J15" s="4">
        <f>I15/2 - E15/2</f>
        <v>30.75</v>
      </c>
      <c r="K15" s="4">
        <f>C15-J15</f>
        <v>-2.75</v>
      </c>
      <c r="L15" s="4">
        <f>I15/2 + E15/2</f>
        <v>20.25</v>
      </c>
      <c r="M15" s="4">
        <f>D15-L15</f>
        <v>-6.25</v>
      </c>
      <c r="N15" s="4">
        <f t="shared" si="2"/>
        <v>2.9000000000000004</v>
      </c>
      <c r="O15" s="4">
        <f t="shared" si="3"/>
        <v>31.05</v>
      </c>
      <c r="P15" s="4">
        <f t="shared" si="4"/>
        <v>-3.0500000000000007</v>
      </c>
      <c r="Q15" s="4">
        <f t="shared" si="5"/>
        <v>19.95</v>
      </c>
      <c r="R15" s="4">
        <f t="shared" si="6"/>
        <v>-5.9499999999999993</v>
      </c>
      <c r="S15" s="2">
        <v>-425</v>
      </c>
      <c r="T15" s="11">
        <f t="shared" si="0"/>
        <v>0.80952380952380953</v>
      </c>
    </row>
    <row r="17" spans="1:20" s="4" customFormat="1" x14ac:dyDescent="0.2">
      <c r="A17" s="5" t="s">
        <v>25</v>
      </c>
      <c r="C17" s="4">
        <f>SUM(C4:C15)</f>
        <v>426</v>
      </c>
      <c r="D17" s="4">
        <f>SUM(D4:D15)</f>
        <v>207</v>
      </c>
      <c r="E17" s="4">
        <f t="shared" ref="E17:F17" si="7">SUM(E4:E15)</f>
        <v>-210.5</v>
      </c>
      <c r="F17" s="4">
        <f t="shared" si="7"/>
        <v>-1314</v>
      </c>
      <c r="G17" s="4">
        <f>SUM(G4:G15)</f>
        <v>-221.21904761904761</v>
      </c>
      <c r="H17" s="4">
        <f>SUM(H4:H15)</f>
        <v>8.5</v>
      </c>
      <c r="I17" s="4">
        <f>SUM(I4:I15)</f>
        <v>650</v>
      </c>
      <c r="J17" s="4">
        <f>SUM(J4:J15)</f>
        <v>430.25</v>
      </c>
      <c r="K17" s="4">
        <f>SUM(K4:K15)</f>
        <v>-4.25</v>
      </c>
      <c r="L17" s="4">
        <f>SUM(L4:L15)</f>
        <v>219.75</v>
      </c>
      <c r="M17" s="4">
        <f>SUM(M3:M15)</f>
        <v>-12.75</v>
      </c>
      <c r="N17" s="4">
        <f>SUM(N3:N15)</f>
        <v>-2.2190476190476129</v>
      </c>
      <c r="O17" s="4">
        <f>SUM(O3:O15)</f>
        <v>435.60952380952375</v>
      </c>
      <c r="P17" s="4">
        <f>SUM(P3:P15)</f>
        <v>-9.6095238095238038</v>
      </c>
      <c r="Q17" s="4">
        <f>SUM(Q3:Q15)</f>
        <v>214.39047619047619</v>
      </c>
      <c r="R17" s="4">
        <f>SUM(R3:R15)</f>
        <v>-7.3904761904761997</v>
      </c>
    </row>
    <row r="18" spans="1:20" s="7" customFormat="1" x14ac:dyDescent="0.2">
      <c r="A18" s="6" t="s">
        <v>26</v>
      </c>
      <c r="C18" s="7">
        <f>AVERAGE(C4:C15)</f>
        <v>35.5</v>
      </c>
      <c r="D18" s="7">
        <f>AVERAGE(D4:D15)</f>
        <v>17.25</v>
      </c>
      <c r="E18" s="7">
        <f>AVERAGE(E4:E15)</f>
        <v>-17.541666666666668</v>
      </c>
      <c r="F18" s="7">
        <f>AVERAGE(F4:F15)</f>
        <v>-109.5</v>
      </c>
      <c r="G18" s="4">
        <f>AVERAGE(G4:G15)</f>
        <v>-18.434920634920633</v>
      </c>
      <c r="H18" s="7">
        <f>AVERAGE(H4:H15)</f>
        <v>0.70833333333333337</v>
      </c>
      <c r="I18" s="7">
        <f>AVERAGE(I4:I15)</f>
        <v>54.166666666666664</v>
      </c>
      <c r="J18" s="7">
        <f>AVERAGE(J4:J15)</f>
        <v>35.854166666666664</v>
      </c>
      <c r="K18" s="7">
        <f>AVERAGE(K4:K15)</f>
        <v>-0.35416666666666669</v>
      </c>
      <c r="L18" s="7">
        <f>AVERAGE(L4:L15)</f>
        <v>18.3125</v>
      </c>
      <c r="M18" s="7">
        <f>AVERAGE(M4:M15)</f>
        <v>-1.0625</v>
      </c>
      <c r="N18" s="7">
        <f>AVERAGE(N4:N15)</f>
        <v>-0.1849206349206344</v>
      </c>
      <c r="O18" s="7">
        <f>AVERAGE(O4:O15)</f>
        <v>36.300793650793644</v>
      </c>
      <c r="P18" s="7">
        <f>AVERAGE(P4:P15)</f>
        <v>-0.80079365079365028</v>
      </c>
      <c r="Q18" s="7">
        <f>AVERAGE(Q4:Q15)</f>
        <v>17.865873015873017</v>
      </c>
      <c r="R18" s="7">
        <f>AVERAGE(R4:R15)</f>
        <v>-0.61587301587301668</v>
      </c>
      <c r="S18" s="7">
        <f>AVERAGE(S4:S15)</f>
        <v>-4222.5</v>
      </c>
      <c r="T18" s="8">
        <f>AVERAGE(T4:T16)</f>
        <v>0.83675366404079654</v>
      </c>
    </row>
  </sheetData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CF9B-53D4-CC4A-ABA7-C029B19CF815}">
  <sheetPr>
    <tabColor theme="3" tint="0.499984740745262"/>
  </sheetPr>
  <dimension ref="A1:T46"/>
  <sheetViews>
    <sheetView zoomScale="60" zoomScaleNormal="100" workbookViewId="0">
      <selection activeCell="L40" sqref="L40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4.1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135</v>
      </c>
      <c r="B1" s="1" t="s">
        <v>112</v>
      </c>
      <c r="C1" s="1" t="s">
        <v>2</v>
      </c>
      <c r="D1" s="1" t="s">
        <v>136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102</v>
      </c>
      <c r="C4" s="9">
        <v>29</v>
      </c>
      <c r="D4" s="9">
        <v>24</v>
      </c>
      <c r="E4" s="3">
        <v>-28</v>
      </c>
      <c r="F4" s="2">
        <v>-113</v>
      </c>
      <c r="G4" s="4">
        <f>E4*(F4/-105)</f>
        <v>-30.133333333333333</v>
      </c>
      <c r="H4" s="4">
        <f>(C4-D4) + E4</f>
        <v>-23</v>
      </c>
      <c r="I4" s="3">
        <v>55.5</v>
      </c>
      <c r="J4" s="4">
        <f>I4/2 - E4/2</f>
        <v>41.75</v>
      </c>
      <c r="K4" s="4">
        <f>C4-J4</f>
        <v>-12.75</v>
      </c>
      <c r="L4" s="4">
        <f>I4/2 + E4/2</f>
        <v>13.75</v>
      </c>
      <c r="M4" s="4">
        <f>D4-L4</f>
        <v>10.25</v>
      </c>
      <c r="N4" s="4">
        <f>(C4-D4) + G4</f>
        <v>-25.133333333333333</v>
      </c>
      <c r="O4" s="4">
        <f>I4/2 - G4/2</f>
        <v>42.816666666666663</v>
      </c>
      <c r="P4" s="4">
        <f>C4-O4</f>
        <v>-13.816666666666663</v>
      </c>
      <c r="Q4" s="4">
        <f>I4/2 + G4/2</f>
        <v>12.683333333333334</v>
      </c>
      <c r="R4" s="4">
        <f>D4-Q4</f>
        <v>11.316666666666666</v>
      </c>
      <c r="S4" s="2">
        <v>-6533</v>
      </c>
      <c r="T4" s="11">
        <f t="shared" ref="T4:T16" si="0">IF(S4&gt;0,100/(100+S4),ABS(S4)/(100+ABS(S4)))</f>
        <v>0.9849238655208804</v>
      </c>
    </row>
    <row r="5" spans="1:20" x14ac:dyDescent="0.2">
      <c r="A5" s="2">
        <v>2</v>
      </c>
      <c r="B5" s="2" t="s">
        <v>137</v>
      </c>
      <c r="C5" s="9">
        <v>59</v>
      </c>
      <c r="D5" s="9">
        <v>7</v>
      </c>
      <c r="E5" s="10">
        <v>-50</v>
      </c>
      <c r="F5" s="2">
        <v>-111</v>
      </c>
      <c r="G5" s="4">
        <f t="shared" ref="G5:G16" si="1">E5*(F5/-105)</f>
        <v>-52.857142857142861</v>
      </c>
      <c r="H5" s="4">
        <f>(C5-D5) + E5</f>
        <v>2</v>
      </c>
      <c r="I5" s="3">
        <v>62.5</v>
      </c>
      <c r="J5" s="4">
        <f>I5/2 - E5/2</f>
        <v>56.25</v>
      </c>
      <c r="K5" s="4">
        <f>C5-J5</f>
        <v>2.75</v>
      </c>
      <c r="L5" s="4">
        <f>I5/2 + E5/2</f>
        <v>6.25</v>
      </c>
      <c r="M5" s="4">
        <f>D5-L5</f>
        <v>0.75</v>
      </c>
      <c r="N5" s="4">
        <f t="shared" ref="N5:N16" si="2">(C5-D5) + G5</f>
        <v>-0.8571428571428612</v>
      </c>
      <c r="O5" s="4">
        <f t="shared" ref="O5:O16" si="3">I5/2 - G5/2</f>
        <v>57.678571428571431</v>
      </c>
      <c r="P5" s="4">
        <f t="shared" ref="P5:P16" si="4">C5-O5</f>
        <v>1.3214285714285694</v>
      </c>
      <c r="Q5" s="4">
        <f t="shared" ref="Q5:Q16" si="5">I5/2 + G5/2</f>
        <v>4.8214285714285694</v>
      </c>
      <c r="R5" s="4">
        <f t="shared" ref="R5:R16" si="6">D5-Q5</f>
        <v>2.1785714285714306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122</v>
      </c>
      <c r="C6" s="2">
        <v>15</v>
      </c>
      <c r="D6" s="2">
        <v>18</v>
      </c>
      <c r="E6" s="3">
        <v>-12.5</v>
      </c>
      <c r="F6" s="2">
        <v>-110</v>
      </c>
      <c r="G6" s="4">
        <f t="shared" si="1"/>
        <v>-13.095238095238097</v>
      </c>
      <c r="H6" s="4">
        <f>(C6-D6) + E6</f>
        <v>-15.5</v>
      </c>
      <c r="I6" s="3">
        <v>56</v>
      </c>
      <c r="J6" s="4">
        <f>I6/2 - E6/2</f>
        <v>34.25</v>
      </c>
      <c r="K6" s="4">
        <f>C6-J6</f>
        <v>-19.25</v>
      </c>
      <c r="L6" s="4">
        <f>I6/2 + E6/2</f>
        <v>21.75</v>
      </c>
      <c r="M6" s="4">
        <f>D6-L6</f>
        <v>-3.75</v>
      </c>
      <c r="N6" s="4">
        <f t="shared" si="2"/>
        <v>-16.095238095238095</v>
      </c>
      <c r="O6" s="4">
        <f t="shared" si="3"/>
        <v>34.547619047619051</v>
      </c>
      <c r="P6" s="4">
        <f t="shared" si="4"/>
        <v>-19.547619047619051</v>
      </c>
      <c r="Q6" s="4">
        <f t="shared" si="5"/>
        <v>21.452380952380953</v>
      </c>
      <c r="R6" s="4">
        <f t="shared" si="6"/>
        <v>-3.4523809523809526</v>
      </c>
      <c r="S6" s="2">
        <v>-513</v>
      </c>
      <c r="T6" s="11">
        <f t="shared" si="0"/>
        <v>0.83686786296900484</v>
      </c>
    </row>
    <row r="7" spans="1:20" x14ac:dyDescent="0.2">
      <c r="A7" s="2">
        <v>4</v>
      </c>
      <c r="B7" s="2" t="s">
        <v>138</v>
      </c>
      <c r="C7" s="9">
        <v>66</v>
      </c>
      <c r="D7" s="9">
        <v>42</v>
      </c>
      <c r="E7" s="10">
        <v>1</v>
      </c>
      <c r="F7" s="2">
        <v>-109</v>
      </c>
      <c r="G7" s="4">
        <f t="shared" si="1"/>
        <v>1.0380952380952382</v>
      </c>
      <c r="H7" s="4">
        <f>(C7-D7) + E7</f>
        <v>25</v>
      </c>
      <c r="I7" s="3">
        <v>58.5</v>
      </c>
      <c r="J7" s="4">
        <f>I7/2 - E7/2</f>
        <v>28.75</v>
      </c>
      <c r="K7" s="4">
        <f>C7-J7</f>
        <v>37.25</v>
      </c>
      <c r="L7" s="4">
        <f>I7/2 + E7/2</f>
        <v>29.75</v>
      </c>
      <c r="M7" s="4">
        <f>D7-L7</f>
        <v>12.25</v>
      </c>
      <c r="N7" s="4">
        <f t="shared" si="2"/>
        <v>25.038095238095238</v>
      </c>
      <c r="O7" s="4">
        <f t="shared" si="3"/>
        <v>28.730952380952381</v>
      </c>
      <c r="P7" s="4">
        <f t="shared" si="4"/>
        <v>37.269047619047619</v>
      </c>
      <c r="Q7" s="4">
        <f t="shared" si="5"/>
        <v>29.769047619047619</v>
      </c>
      <c r="R7" s="4">
        <f t="shared" si="6"/>
        <v>12.230952380952381</v>
      </c>
      <c r="S7" s="2">
        <v>-103</v>
      </c>
      <c r="T7" s="11">
        <f t="shared" si="0"/>
        <v>0.5073891625615764</v>
      </c>
    </row>
    <row r="8" spans="1:20" x14ac:dyDescent="0.2">
      <c r="A8" s="2">
        <v>5</v>
      </c>
      <c r="B8" s="2" t="s">
        <v>62</v>
      </c>
      <c r="C8" s="9">
        <v>42</v>
      </c>
      <c r="D8" s="9">
        <v>16</v>
      </c>
      <c r="E8" s="10">
        <v>-6</v>
      </c>
      <c r="F8" s="2">
        <v>-110</v>
      </c>
      <c r="G8" s="4">
        <f t="shared" si="1"/>
        <v>-6.2857142857142865</v>
      </c>
      <c r="H8" s="4">
        <f>(C8-D8) + E8</f>
        <v>20</v>
      </c>
      <c r="I8" s="3">
        <v>46.5</v>
      </c>
      <c r="J8" s="4">
        <f>I8/2 - E8/2</f>
        <v>26.25</v>
      </c>
      <c r="K8" s="4">
        <f>C8-J8</f>
        <v>15.75</v>
      </c>
      <c r="L8" s="4">
        <f>I8/2 + E8/2</f>
        <v>20.25</v>
      </c>
      <c r="M8" s="4">
        <f>D8-L8</f>
        <v>-4.25</v>
      </c>
      <c r="N8" s="4">
        <f t="shared" si="2"/>
        <v>19.714285714285715</v>
      </c>
      <c r="O8" s="4">
        <f t="shared" si="3"/>
        <v>26.392857142857142</v>
      </c>
      <c r="P8" s="4">
        <f t="shared" si="4"/>
        <v>15.607142857142858</v>
      </c>
      <c r="Q8" s="4">
        <f t="shared" si="5"/>
        <v>20.107142857142858</v>
      </c>
      <c r="R8" s="4">
        <f t="shared" si="6"/>
        <v>-4.1071428571428577</v>
      </c>
      <c r="S8" s="2">
        <v>-220</v>
      </c>
      <c r="T8" s="11">
        <f t="shared" si="0"/>
        <v>0.6875</v>
      </c>
    </row>
    <row r="9" spans="1:20" x14ac:dyDescent="0.2">
      <c r="A9" s="2">
        <v>6</v>
      </c>
      <c r="B9" s="2" t="s">
        <v>59</v>
      </c>
      <c r="C9" s="9">
        <v>34</v>
      </c>
      <c r="D9" s="9">
        <v>27</v>
      </c>
      <c r="E9" s="10">
        <v>6.5</v>
      </c>
      <c r="F9" s="2">
        <v>-106</v>
      </c>
      <c r="G9" s="4">
        <f t="shared" si="1"/>
        <v>6.5619047619047617</v>
      </c>
      <c r="H9" s="4">
        <f>(C9-D9) + E9</f>
        <v>13.5</v>
      </c>
      <c r="I9" s="3">
        <v>55.5</v>
      </c>
      <c r="J9" s="4">
        <f>I9/2 - E9/2</f>
        <v>24.5</v>
      </c>
      <c r="K9" s="4">
        <f>C9-J9</f>
        <v>9.5</v>
      </c>
      <c r="L9" s="4">
        <f>I9/2 + E9/2</f>
        <v>31</v>
      </c>
      <c r="M9" s="4">
        <f>D9-L9</f>
        <v>-4</v>
      </c>
      <c r="N9" s="4">
        <f t="shared" si="2"/>
        <v>13.561904761904762</v>
      </c>
      <c r="O9" s="4">
        <f t="shared" si="3"/>
        <v>24.469047619047618</v>
      </c>
      <c r="P9" s="4">
        <f t="shared" si="4"/>
        <v>9.5309523809523817</v>
      </c>
      <c r="Q9" s="4">
        <f t="shared" si="5"/>
        <v>31.030952380952382</v>
      </c>
      <c r="R9" s="4">
        <f t="shared" si="6"/>
        <v>-4.0309523809523817</v>
      </c>
      <c r="S9" s="2">
        <v>204</v>
      </c>
      <c r="T9" s="11">
        <f t="shared" si="0"/>
        <v>0.32894736842105265</v>
      </c>
    </row>
    <row r="10" spans="1:20" x14ac:dyDescent="0.2">
      <c r="A10" s="2">
        <v>7</v>
      </c>
      <c r="B10" s="2" t="s">
        <v>60</v>
      </c>
      <c r="C10" s="9">
        <v>40</v>
      </c>
      <c r="D10" s="9">
        <v>10</v>
      </c>
      <c r="E10" s="10">
        <v>-16.5</v>
      </c>
      <c r="F10" s="2">
        <v>-113</v>
      </c>
      <c r="G10" s="4">
        <f t="shared" si="1"/>
        <v>-17.757142857142856</v>
      </c>
      <c r="H10" s="4">
        <f>(C10-D10) + E10</f>
        <v>13.5</v>
      </c>
      <c r="I10" s="3">
        <v>52.5</v>
      </c>
      <c r="J10" s="4">
        <f>I10/2 - E10/2</f>
        <v>34.5</v>
      </c>
      <c r="K10" s="4">
        <f>C10-J10</f>
        <v>5.5</v>
      </c>
      <c r="L10" s="4">
        <f>I10/2 + E10/2</f>
        <v>18</v>
      </c>
      <c r="M10" s="4">
        <f>D10-L10</f>
        <v>-8</v>
      </c>
      <c r="N10" s="4">
        <f t="shared" si="2"/>
        <v>12.242857142857144</v>
      </c>
      <c r="O10" s="4">
        <f t="shared" si="3"/>
        <v>35.128571428571426</v>
      </c>
      <c r="P10" s="4">
        <f t="shared" si="4"/>
        <v>4.8714285714285737</v>
      </c>
      <c r="Q10" s="4">
        <f t="shared" si="5"/>
        <v>17.371428571428574</v>
      </c>
      <c r="R10" s="4">
        <f t="shared" si="6"/>
        <v>-7.3714285714285737</v>
      </c>
      <c r="S10" s="2">
        <v>-795</v>
      </c>
      <c r="T10" s="11">
        <f t="shared" si="0"/>
        <v>0.88826815642458101</v>
      </c>
    </row>
    <row r="11" spans="1:20" x14ac:dyDescent="0.2">
      <c r="A11" s="2">
        <v>8</v>
      </c>
      <c r="B11" s="2" t="s">
        <v>139</v>
      </c>
      <c r="C11" s="9">
        <v>28</v>
      </c>
      <c r="D11" s="9">
        <v>27</v>
      </c>
      <c r="E11" s="3">
        <v>-11.5</v>
      </c>
      <c r="F11" s="2">
        <v>-110</v>
      </c>
      <c r="G11" s="4">
        <f t="shared" si="1"/>
        <v>-12.047619047619047</v>
      </c>
      <c r="H11" s="4">
        <f>(C11-D11) + E11</f>
        <v>-10.5</v>
      </c>
      <c r="I11" s="3">
        <v>49.5</v>
      </c>
      <c r="J11" s="4">
        <f>I11/2 - E11/2</f>
        <v>30.5</v>
      </c>
      <c r="K11" s="4">
        <f>C11-J11</f>
        <v>-2.5</v>
      </c>
      <c r="L11" s="4">
        <f>I11/2 + E11/2</f>
        <v>19</v>
      </c>
      <c r="M11" s="4">
        <f>D11-L11</f>
        <v>8</v>
      </c>
      <c r="N11" s="4">
        <f t="shared" si="2"/>
        <v>-11.047619047619047</v>
      </c>
      <c r="O11" s="4">
        <f t="shared" si="3"/>
        <v>30.773809523809526</v>
      </c>
      <c r="P11" s="4">
        <f t="shared" si="4"/>
        <v>-2.7738095238095255</v>
      </c>
      <c r="Q11" s="4">
        <f t="shared" si="5"/>
        <v>18.726190476190474</v>
      </c>
      <c r="R11" s="4">
        <f t="shared" si="6"/>
        <v>8.2738095238095255</v>
      </c>
      <c r="S11" s="2">
        <v>-448</v>
      </c>
      <c r="T11" s="11">
        <f t="shared" si="0"/>
        <v>0.81751824817518248</v>
      </c>
    </row>
    <row r="12" spans="1:20" x14ac:dyDescent="0.2">
      <c r="A12" s="2">
        <v>9</v>
      </c>
      <c r="B12" s="2" t="s">
        <v>140</v>
      </c>
      <c r="C12" s="9">
        <v>48</v>
      </c>
      <c r="D12" s="9">
        <v>25</v>
      </c>
      <c r="E12" s="10">
        <v>-7</v>
      </c>
      <c r="F12" s="2">
        <v>-114</v>
      </c>
      <c r="G12" s="4">
        <f t="shared" si="1"/>
        <v>-7.6</v>
      </c>
      <c r="H12" s="4">
        <f>(C12-D12) + E12</f>
        <v>16</v>
      </c>
      <c r="I12" s="3">
        <v>56.5</v>
      </c>
      <c r="J12" s="4">
        <f>I12/2 - E12/2</f>
        <v>31.75</v>
      </c>
      <c r="K12" s="4">
        <f>C12-J12</f>
        <v>16.25</v>
      </c>
      <c r="L12" s="4">
        <f>I12/2 + E12/2</f>
        <v>24.75</v>
      </c>
      <c r="M12" s="4">
        <f>D12-L12</f>
        <v>0.25</v>
      </c>
      <c r="N12" s="4">
        <f t="shared" si="2"/>
        <v>15.4</v>
      </c>
      <c r="O12" s="4">
        <f t="shared" si="3"/>
        <v>32.049999999999997</v>
      </c>
      <c r="P12" s="4">
        <f t="shared" si="4"/>
        <v>15.950000000000003</v>
      </c>
      <c r="Q12" s="4">
        <f t="shared" si="5"/>
        <v>24.45</v>
      </c>
      <c r="R12" s="4">
        <f t="shared" si="6"/>
        <v>0.55000000000000071</v>
      </c>
      <c r="S12" s="2">
        <v>-289</v>
      </c>
      <c r="T12" s="11">
        <f t="shared" si="0"/>
        <v>0.74293059125964012</v>
      </c>
    </row>
    <row r="13" spans="1:20" x14ac:dyDescent="0.2">
      <c r="A13" s="2">
        <v>10</v>
      </c>
      <c r="B13" s="2" t="s">
        <v>141</v>
      </c>
      <c r="C13" s="9">
        <v>38</v>
      </c>
      <c r="D13" s="9">
        <v>28</v>
      </c>
      <c r="E13" s="3">
        <v>-18.5</v>
      </c>
      <c r="F13" s="2">
        <v>-112</v>
      </c>
      <c r="G13" s="4">
        <f t="shared" si="1"/>
        <v>-19.733333333333334</v>
      </c>
      <c r="H13" s="4">
        <f>(C13-D13) + E13</f>
        <v>-8.5</v>
      </c>
      <c r="I13" s="3">
        <v>54.5</v>
      </c>
      <c r="J13" s="4">
        <f>I13/2 - E13/2</f>
        <v>36.5</v>
      </c>
      <c r="K13" s="4">
        <f>C13-J13</f>
        <v>1.5</v>
      </c>
      <c r="L13" s="4">
        <f>I13/2 + E13/2</f>
        <v>18</v>
      </c>
      <c r="M13" s="4">
        <f>D13-L13</f>
        <v>10</v>
      </c>
      <c r="N13" s="4">
        <f t="shared" si="2"/>
        <v>-9.7333333333333343</v>
      </c>
      <c r="O13" s="4">
        <f t="shared" si="3"/>
        <v>37.116666666666667</v>
      </c>
      <c r="P13" s="4">
        <f t="shared" si="4"/>
        <v>0.88333333333333286</v>
      </c>
      <c r="Q13" s="4">
        <f t="shared" si="5"/>
        <v>17.383333333333333</v>
      </c>
      <c r="R13" s="4">
        <f t="shared" si="6"/>
        <v>10.616666666666667</v>
      </c>
      <c r="S13" s="2">
        <v>-1106</v>
      </c>
      <c r="T13" s="11">
        <f t="shared" si="0"/>
        <v>0.9170812603648425</v>
      </c>
    </row>
    <row r="14" spans="1:20" x14ac:dyDescent="0.2">
      <c r="A14" s="2">
        <v>11</v>
      </c>
      <c r="B14" s="2" t="s">
        <v>142</v>
      </c>
      <c r="C14" s="9">
        <v>33</v>
      </c>
      <c r="D14" s="9">
        <v>7</v>
      </c>
      <c r="E14" s="10">
        <v>-11.5</v>
      </c>
      <c r="F14" s="2">
        <v>-112</v>
      </c>
      <c r="G14" s="4">
        <f t="shared" si="1"/>
        <v>-12.266666666666666</v>
      </c>
      <c r="H14" s="4">
        <f>(C14-D14) + E14</f>
        <v>14.5</v>
      </c>
      <c r="I14" s="3">
        <v>54.5</v>
      </c>
      <c r="J14" s="4">
        <f>I14/2 - E14/2</f>
        <v>33</v>
      </c>
      <c r="K14" s="4">
        <f>C14-J14</f>
        <v>0</v>
      </c>
      <c r="L14" s="4">
        <f>I14/2 + E14/2</f>
        <v>21.5</v>
      </c>
      <c r="M14" s="4">
        <f>D14-L14</f>
        <v>-14.5</v>
      </c>
      <c r="N14" s="4">
        <f t="shared" si="2"/>
        <v>13.733333333333334</v>
      </c>
      <c r="O14" s="4">
        <f t="shared" si="3"/>
        <v>33.383333333333333</v>
      </c>
      <c r="P14" s="4">
        <f t="shared" si="4"/>
        <v>-0.38333333333333286</v>
      </c>
      <c r="Q14" s="4">
        <f t="shared" si="5"/>
        <v>21.116666666666667</v>
      </c>
      <c r="R14" s="4">
        <f t="shared" si="6"/>
        <v>-14.116666666666667</v>
      </c>
      <c r="S14" s="2">
        <v>-458</v>
      </c>
      <c r="T14" s="11">
        <f t="shared" si="0"/>
        <v>0.82078853046594979</v>
      </c>
    </row>
    <row r="15" spans="1:20" x14ac:dyDescent="0.2">
      <c r="A15" s="2">
        <v>12</v>
      </c>
      <c r="B15" s="2" t="s">
        <v>143</v>
      </c>
      <c r="C15" s="9">
        <v>38</v>
      </c>
      <c r="D15" s="9">
        <v>6</v>
      </c>
      <c r="E15" s="10">
        <v>-12.5</v>
      </c>
      <c r="F15" s="2">
        <v>-110</v>
      </c>
      <c r="G15" s="4">
        <f t="shared" si="1"/>
        <v>-13.095238095238097</v>
      </c>
      <c r="H15" s="4">
        <f>(C15-D15) + E15</f>
        <v>19.5</v>
      </c>
      <c r="I15" s="3">
        <v>54.5</v>
      </c>
      <c r="J15" s="4">
        <f>I15/2 - E15/2</f>
        <v>33.5</v>
      </c>
      <c r="K15" s="4">
        <f>C15-J15</f>
        <v>4.5</v>
      </c>
      <c r="L15" s="4">
        <f>I15/2 + E15/2</f>
        <v>21</v>
      </c>
      <c r="M15" s="4">
        <f>D15-L15</f>
        <v>-15</v>
      </c>
      <c r="N15" s="4">
        <f t="shared" si="2"/>
        <v>18.904761904761905</v>
      </c>
      <c r="O15" s="4">
        <f t="shared" si="3"/>
        <v>33.797619047619051</v>
      </c>
      <c r="P15" s="4">
        <f t="shared" si="4"/>
        <v>4.202380952380949</v>
      </c>
      <c r="Q15" s="4">
        <f t="shared" si="5"/>
        <v>20.702380952380953</v>
      </c>
      <c r="R15" s="4">
        <f t="shared" si="6"/>
        <v>-14.702380952380953</v>
      </c>
      <c r="S15" s="2">
        <v>-490</v>
      </c>
      <c r="T15" s="11">
        <f t="shared" si="0"/>
        <v>0.83050847457627119</v>
      </c>
    </row>
    <row r="16" spans="1:20" x14ac:dyDescent="0.2">
      <c r="A16" s="2" t="s">
        <v>144</v>
      </c>
      <c r="B16" s="2" t="s">
        <v>40</v>
      </c>
      <c r="C16" s="2">
        <v>31</v>
      </c>
      <c r="D16" s="2">
        <v>34</v>
      </c>
      <c r="E16" s="3">
        <v>-2.5</v>
      </c>
      <c r="F16" s="2">
        <v>-113</v>
      </c>
      <c r="G16" s="4">
        <f t="shared" si="1"/>
        <v>-2.6904761904761902</v>
      </c>
      <c r="H16" s="4">
        <f>(C16-D16) + E16</f>
        <v>-5.5</v>
      </c>
      <c r="I16" s="3">
        <v>56.5</v>
      </c>
      <c r="J16" s="4">
        <f>I16/2 - E16/2</f>
        <v>29.5</v>
      </c>
      <c r="K16" s="4">
        <f>C16-J16</f>
        <v>1.5</v>
      </c>
      <c r="L16" s="4">
        <f>I16/2 + E16/2</f>
        <v>27</v>
      </c>
      <c r="M16" s="4">
        <f>D16-L16</f>
        <v>7</v>
      </c>
      <c r="N16" s="4">
        <f t="shared" si="2"/>
        <v>-5.6904761904761898</v>
      </c>
      <c r="O16" s="4">
        <f t="shared" si="3"/>
        <v>29.595238095238095</v>
      </c>
      <c r="P16" s="4">
        <f t="shared" si="4"/>
        <v>1.4047619047619051</v>
      </c>
      <c r="Q16" s="4">
        <f t="shared" si="5"/>
        <v>26.904761904761905</v>
      </c>
      <c r="R16" s="4">
        <f t="shared" si="6"/>
        <v>7.0952380952380949</v>
      </c>
      <c r="S16" s="2">
        <v>-136</v>
      </c>
      <c r="T16" s="11">
        <f t="shared" si="0"/>
        <v>0.57627118644067798</v>
      </c>
    </row>
    <row r="18" spans="1:20" s="4" customFormat="1" x14ac:dyDescent="0.2">
      <c r="A18" s="5" t="s">
        <v>25</v>
      </c>
      <c r="C18" s="4">
        <f>SUM(C4:C16)</f>
        <v>501</v>
      </c>
      <c r="D18" s="4">
        <f>SUM(D4:D16)</f>
        <v>271</v>
      </c>
      <c r="E18" s="4">
        <f t="shared" ref="E18:F18" si="7">SUM(E4:E16)</f>
        <v>-169</v>
      </c>
      <c r="F18" s="4">
        <f t="shared" si="7"/>
        <v>-1443</v>
      </c>
      <c r="G18" s="4">
        <f>SUM(G4:G16)</f>
        <v>-179.96190476190478</v>
      </c>
      <c r="H18" s="4">
        <f>SUM(H4:H16)</f>
        <v>61</v>
      </c>
      <c r="I18" s="4">
        <f>SUM(I4:I16)</f>
        <v>713</v>
      </c>
      <c r="J18" s="4">
        <f>SUM(J4:J16)</f>
        <v>441</v>
      </c>
      <c r="K18" s="4">
        <f>SUM(K4:K16)</f>
        <v>60</v>
      </c>
      <c r="L18" s="4">
        <f>SUM(L4:L16)</f>
        <v>272</v>
      </c>
      <c r="M18" s="4">
        <f>SUM(M3:M16)</f>
        <v>-1</v>
      </c>
      <c r="N18" s="4">
        <f t="shared" ref="N18:R18" si="8">SUM(N3:N16)</f>
        <v>50.038095238095238</v>
      </c>
      <c r="O18" s="4">
        <f t="shared" si="8"/>
        <v>446.48095238095237</v>
      </c>
      <c r="P18" s="4">
        <f t="shared" si="8"/>
        <v>54.519047619047619</v>
      </c>
      <c r="Q18" s="4">
        <f t="shared" si="8"/>
        <v>266.51904761904763</v>
      </c>
      <c r="R18" s="4">
        <f t="shared" si="8"/>
        <v>4.480952380952381</v>
      </c>
    </row>
    <row r="19" spans="1:20" s="7" customFormat="1" x14ac:dyDescent="0.2">
      <c r="A19" s="6" t="s">
        <v>26</v>
      </c>
      <c r="C19" s="7">
        <f t="shared" ref="C19:S19" si="9">AVERAGE(C4:C16)</f>
        <v>38.53846153846154</v>
      </c>
      <c r="D19" s="7">
        <f t="shared" si="9"/>
        <v>20.846153846153847</v>
      </c>
      <c r="E19" s="7">
        <f t="shared" si="9"/>
        <v>-13</v>
      </c>
      <c r="F19" s="7">
        <f t="shared" si="9"/>
        <v>-111</v>
      </c>
      <c r="G19" s="4">
        <f>AVERAGE(G4:G16)</f>
        <v>-13.843223443223444</v>
      </c>
      <c r="H19" s="7">
        <f t="shared" si="9"/>
        <v>4.6923076923076925</v>
      </c>
      <c r="I19" s="7">
        <f t="shared" si="9"/>
        <v>54.846153846153847</v>
      </c>
      <c r="J19" s="7">
        <f t="shared" si="9"/>
        <v>33.92307692307692</v>
      </c>
      <c r="K19" s="7">
        <f t="shared" si="9"/>
        <v>4.615384615384615</v>
      </c>
      <c r="L19" s="7">
        <f t="shared" si="9"/>
        <v>20.923076923076923</v>
      </c>
      <c r="M19" s="7">
        <f t="shared" si="9"/>
        <v>-7.6923076923076927E-2</v>
      </c>
      <c r="N19" s="7">
        <f t="shared" si="9"/>
        <v>3.8490842490842492</v>
      </c>
      <c r="O19" s="7">
        <f t="shared" si="9"/>
        <v>34.344688644688645</v>
      </c>
      <c r="P19" s="7">
        <f t="shared" si="9"/>
        <v>4.193772893772894</v>
      </c>
      <c r="Q19" s="7">
        <f t="shared" si="9"/>
        <v>20.501465201465201</v>
      </c>
      <c r="R19" s="7">
        <f>AVERAGE(R4:R16)</f>
        <v>0.34468864468864469</v>
      </c>
      <c r="S19" s="7">
        <f t="shared" si="9"/>
        <v>-2375.9230769230771</v>
      </c>
      <c r="T19" s="8">
        <f>AVERAGE(T4:T17)</f>
        <v>0.76415535252319622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F2CD-7BBE-614C-B939-AD4B5B21B28D}">
  <sheetPr>
    <tabColor rgb="FFFFC000"/>
  </sheetPr>
  <dimension ref="A1:T46"/>
  <sheetViews>
    <sheetView zoomScale="50" zoomScaleNormal="100" workbookViewId="0">
      <selection activeCell="Q22" sqref="Q22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4.1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145</v>
      </c>
      <c r="B1" s="1" t="s">
        <v>146</v>
      </c>
      <c r="C1" s="1" t="s">
        <v>2</v>
      </c>
      <c r="D1" s="1" t="s">
        <v>136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72</v>
      </c>
      <c r="C4" s="2">
        <v>3</v>
      </c>
      <c r="D4" s="2">
        <v>34</v>
      </c>
      <c r="E4" s="3">
        <v>10.5</v>
      </c>
      <c r="F4" s="2">
        <v>-109</v>
      </c>
      <c r="G4" s="4">
        <f>E4*(F4/-105)</f>
        <v>10.9</v>
      </c>
      <c r="H4" s="4">
        <f>(C4-D4) + E4</f>
        <v>-20.5</v>
      </c>
      <c r="I4" s="3">
        <v>49</v>
      </c>
      <c r="J4" s="4">
        <f>I4/2 - E4/2</f>
        <v>19.25</v>
      </c>
      <c r="K4" s="4">
        <f>C4-J4</f>
        <v>-16.25</v>
      </c>
      <c r="L4" s="4">
        <f>I4/2 + E4/2</f>
        <v>29.75</v>
      </c>
      <c r="M4" s="4">
        <f>D4-L4</f>
        <v>4.25</v>
      </c>
      <c r="N4" s="4">
        <f>(C4-D4) + G4</f>
        <v>-20.100000000000001</v>
      </c>
      <c r="O4" s="4">
        <f>I4/2 - G4/2</f>
        <v>19.05</v>
      </c>
      <c r="P4" s="4">
        <f>C4-O4</f>
        <v>-16.05</v>
      </c>
      <c r="Q4" s="4">
        <f>I4/2 + G4/2</f>
        <v>29.95</v>
      </c>
      <c r="R4" s="4">
        <f>D4-Q4</f>
        <v>4.0500000000000007</v>
      </c>
      <c r="S4" s="2">
        <v>373</v>
      </c>
      <c r="T4" s="11">
        <f t="shared" ref="T4:T16" si="0">IF(S4&gt;0,100/(100+S4),ABS(S4)/(100+ABS(S4)))</f>
        <v>0.21141649048625794</v>
      </c>
    </row>
    <row r="5" spans="1:20" x14ac:dyDescent="0.2">
      <c r="A5" s="2">
        <v>2</v>
      </c>
      <c r="B5" s="2" t="s">
        <v>147</v>
      </c>
      <c r="C5" s="9">
        <v>66</v>
      </c>
      <c r="D5" s="9">
        <v>20</v>
      </c>
      <c r="E5" s="10">
        <v>-17</v>
      </c>
      <c r="F5" s="2">
        <v>-108</v>
      </c>
      <c r="G5" s="4">
        <f t="shared" ref="G5:G16" si="1">E5*(F5/-105)</f>
        <v>-17.485714285714284</v>
      </c>
      <c r="H5" s="4">
        <f>(C5-D5) + E5</f>
        <v>29</v>
      </c>
      <c r="I5" s="3">
        <v>52.5</v>
      </c>
      <c r="J5" s="4">
        <f>I5/2 - E5/2</f>
        <v>34.75</v>
      </c>
      <c r="K5" s="4">
        <f>C5-J5</f>
        <v>31.25</v>
      </c>
      <c r="L5" s="4">
        <f>I5/2 + E5/2</f>
        <v>17.75</v>
      </c>
      <c r="M5" s="4">
        <f>D5-L5</f>
        <v>2.25</v>
      </c>
      <c r="N5" s="4">
        <f t="shared" ref="N5:N16" si="2">(C5-D5) + G5</f>
        <v>28.514285714285716</v>
      </c>
      <c r="O5" s="4">
        <f t="shared" ref="O5:O16" si="3">I5/2 - G5/2</f>
        <v>34.99285714285714</v>
      </c>
      <c r="P5" s="4">
        <f t="shared" ref="P5:P16" si="4">C5-O5</f>
        <v>31.00714285714286</v>
      </c>
      <c r="Q5" s="4">
        <f t="shared" ref="Q5:Q16" si="5">I5/2 + G5/2</f>
        <v>17.50714285714286</v>
      </c>
      <c r="R5" s="4">
        <f t="shared" ref="R5:R16" si="6">D5-Q5</f>
        <v>2.4928571428571402</v>
      </c>
      <c r="S5" s="2">
        <v>-866</v>
      </c>
      <c r="T5" s="11">
        <f t="shared" si="0"/>
        <v>0.89648033126293991</v>
      </c>
    </row>
    <row r="6" spans="1:20" x14ac:dyDescent="0.2">
      <c r="A6" s="2">
        <v>3</v>
      </c>
      <c r="B6" s="2" t="s">
        <v>90</v>
      </c>
      <c r="C6" s="9">
        <v>59</v>
      </c>
      <c r="D6" s="9">
        <v>35</v>
      </c>
      <c r="E6" s="10">
        <v>-17</v>
      </c>
      <c r="F6" s="2">
        <v>-110</v>
      </c>
      <c r="G6" s="4">
        <f t="shared" si="1"/>
        <v>-17.80952380952381</v>
      </c>
      <c r="H6" s="4">
        <f>(C6-D6) + E6</f>
        <v>7</v>
      </c>
      <c r="I6" s="3">
        <v>44</v>
      </c>
      <c r="J6" s="4">
        <f>I6/2 - E6/2</f>
        <v>30.5</v>
      </c>
      <c r="K6" s="4">
        <f>C6-J6</f>
        <v>28.5</v>
      </c>
      <c r="L6" s="4">
        <f>I6/2 + E6/2</f>
        <v>13.5</v>
      </c>
      <c r="M6" s="4">
        <f>D6-L6</f>
        <v>21.5</v>
      </c>
      <c r="N6" s="4">
        <f t="shared" si="2"/>
        <v>6.1904761904761898</v>
      </c>
      <c r="O6" s="4">
        <f t="shared" si="3"/>
        <v>30.904761904761905</v>
      </c>
      <c r="P6" s="4">
        <f t="shared" si="4"/>
        <v>28.095238095238095</v>
      </c>
      <c r="Q6" s="4">
        <f t="shared" si="5"/>
        <v>13.095238095238095</v>
      </c>
      <c r="R6" s="4">
        <f t="shared" si="6"/>
        <v>21.904761904761905</v>
      </c>
      <c r="S6" s="2">
        <v>-994</v>
      </c>
      <c r="T6" s="11">
        <f t="shared" si="0"/>
        <v>0.90859232175502747</v>
      </c>
    </row>
    <row r="7" spans="1:20" x14ac:dyDescent="0.2">
      <c r="A7" s="2">
        <v>4</v>
      </c>
      <c r="B7" s="2" t="s">
        <v>60</v>
      </c>
      <c r="C7" s="9">
        <v>40</v>
      </c>
      <c r="D7" s="9">
        <v>14</v>
      </c>
      <c r="E7" s="10">
        <v>-24</v>
      </c>
      <c r="F7" s="2">
        <v>-110</v>
      </c>
      <c r="G7" s="4">
        <f t="shared" si="1"/>
        <v>-25.142857142857146</v>
      </c>
      <c r="H7" s="4">
        <f>(C7-D7) + E7</f>
        <v>2</v>
      </c>
      <c r="I7" s="3">
        <v>58</v>
      </c>
      <c r="J7" s="4">
        <f>I7/2 - E7/2</f>
        <v>41</v>
      </c>
      <c r="K7" s="4">
        <f>C7-J7</f>
        <v>-1</v>
      </c>
      <c r="L7" s="4">
        <f>I7/2 + E7/2</f>
        <v>17</v>
      </c>
      <c r="M7" s="4">
        <f>D7-L7</f>
        <v>-3</v>
      </c>
      <c r="N7" s="4">
        <f t="shared" si="2"/>
        <v>0.8571428571428541</v>
      </c>
      <c r="O7" s="4">
        <f t="shared" si="3"/>
        <v>41.571428571428569</v>
      </c>
      <c r="P7" s="4">
        <f t="shared" si="4"/>
        <v>-1.5714285714285694</v>
      </c>
      <c r="Q7" s="4">
        <f t="shared" si="5"/>
        <v>16.428571428571427</v>
      </c>
      <c r="R7" s="4">
        <f t="shared" si="6"/>
        <v>-2.428571428571427</v>
      </c>
      <c r="S7" s="2">
        <v>-2272</v>
      </c>
      <c r="T7" s="11">
        <f t="shared" si="0"/>
        <v>0.95784148397976387</v>
      </c>
    </row>
    <row r="8" spans="1:20" x14ac:dyDescent="0.2">
      <c r="A8" s="2">
        <v>5</v>
      </c>
      <c r="B8" s="2" t="s">
        <v>62</v>
      </c>
      <c r="C8" s="9">
        <v>29</v>
      </c>
      <c r="D8" s="9">
        <v>13</v>
      </c>
      <c r="E8" s="3">
        <v>-16.5</v>
      </c>
      <c r="F8" s="2">
        <v>-111</v>
      </c>
      <c r="G8" s="4">
        <f t="shared" si="1"/>
        <v>-17.442857142857143</v>
      </c>
      <c r="H8" s="4">
        <f>(C8-D8) + E8</f>
        <v>-0.5</v>
      </c>
      <c r="I8" s="3">
        <v>47</v>
      </c>
      <c r="J8" s="4">
        <f>I8/2 - E8/2</f>
        <v>31.75</v>
      </c>
      <c r="K8" s="4">
        <f>C8-J8</f>
        <v>-2.75</v>
      </c>
      <c r="L8" s="4">
        <f>I8/2 + E8/2</f>
        <v>15.25</v>
      </c>
      <c r="M8" s="4">
        <f>D8-L8</f>
        <v>-2.25</v>
      </c>
      <c r="N8" s="4">
        <f t="shared" si="2"/>
        <v>-1.4428571428571431</v>
      </c>
      <c r="O8" s="4">
        <f t="shared" si="3"/>
        <v>32.221428571428575</v>
      </c>
      <c r="P8" s="4">
        <f t="shared" si="4"/>
        <v>-3.2214285714285751</v>
      </c>
      <c r="Q8" s="4">
        <f t="shared" si="5"/>
        <v>14.778571428571428</v>
      </c>
      <c r="R8" s="4">
        <f t="shared" si="6"/>
        <v>-1.7785714285714285</v>
      </c>
      <c r="S8" s="2">
        <v>-779</v>
      </c>
      <c r="T8" s="11">
        <f t="shared" si="0"/>
        <v>0.88623435722411836</v>
      </c>
    </row>
    <row r="9" spans="1:20" x14ac:dyDescent="0.2">
      <c r="A9" s="2">
        <v>6</v>
      </c>
      <c r="B9" s="2" t="s">
        <v>148</v>
      </c>
      <c r="C9" s="9">
        <v>49</v>
      </c>
      <c r="D9" s="9">
        <v>14</v>
      </c>
      <c r="E9" s="10">
        <v>-21</v>
      </c>
      <c r="F9" s="2">
        <v>-109</v>
      </c>
      <c r="G9" s="4">
        <f t="shared" si="1"/>
        <v>-21.8</v>
      </c>
      <c r="H9" s="4">
        <f>(C9-D9) + E9</f>
        <v>14</v>
      </c>
      <c r="I9" s="3">
        <v>63</v>
      </c>
      <c r="J9" s="4">
        <f>I9/2 - E9/2</f>
        <v>42</v>
      </c>
      <c r="K9" s="4">
        <f>C9-J9</f>
        <v>7</v>
      </c>
      <c r="L9" s="4">
        <f>I9/2 + E9/2</f>
        <v>21</v>
      </c>
      <c r="M9" s="4">
        <f>D9-L9</f>
        <v>-7</v>
      </c>
      <c r="N9" s="4">
        <f t="shared" si="2"/>
        <v>13.2</v>
      </c>
      <c r="O9" s="4">
        <f t="shared" si="3"/>
        <v>42.4</v>
      </c>
      <c r="P9" s="4">
        <f t="shared" si="4"/>
        <v>6.6000000000000014</v>
      </c>
      <c r="Q9" s="4">
        <f t="shared" si="5"/>
        <v>20.6</v>
      </c>
      <c r="R9" s="4">
        <f t="shared" si="6"/>
        <v>-6.6000000000000014</v>
      </c>
      <c r="S9" s="2">
        <v>-1603</v>
      </c>
      <c r="T9" s="11">
        <f t="shared" si="0"/>
        <v>0.94128009395184964</v>
      </c>
    </row>
    <row r="10" spans="1:20" x14ac:dyDescent="0.2">
      <c r="A10" s="2">
        <v>7</v>
      </c>
      <c r="B10" s="2" t="s">
        <v>142</v>
      </c>
      <c r="C10" s="9">
        <v>48</v>
      </c>
      <c r="D10" s="9">
        <v>31</v>
      </c>
      <c r="E10" s="3">
        <v>-20.5</v>
      </c>
      <c r="F10" s="2">
        <v>-112</v>
      </c>
      <c r="G10" s="4">
        <f t="shared" si="1"/>
        <v>-21.866666666666667</v>
      </c>
      <c r="H10" s="4">
        <f>(C10-D10) + E10</f>
        <v>-3.5</v>
      </c>
      <c r="I10" s="3">
        <v>57.5</v>
      </c>
      <c r="J10" s="4">
        <f>I10/2 - E10/2</f>
        <v>39</v>
      </c>
      <c r="K10" s="4">
        <f>C10-J10</f>
        <v>9</v>
      </c>
      <c r="L10" s="4">
        <f>I10/2 + E10/2</f>
        <v>18.5</v>
      </c>
      <c r="M10" s="4">
        <f>D10-L10</f>
        <v>12.5</v>
      </c>
      <c r="N10" s="4">
        <f t="shared" si="2"/>
        <v>-4.8666666666666671</v>
      </c>
      <c r="O10" s="4">
        <f t="shared" si="3"/>
        <v>39.683333333333337</v>
      </c>
      <c r="P10" s="4">
        <f t="shared" si="4"/>
        <v>8.3166666666666629</v>
      </c>
      <c r="Q10" s="4">
        <f t="shared" si="5"/>
        <v>17.816666666666666</v>
      </c>
      <c r="R10" s="4">
        <f t="shared" si="6"/>
        <v>13.183333333333334</v>
      </c>
      <c r="S10" s="2">
        <v>-1550</v>
      </c>
      <c r="T10" s="11">
        <f t="shared" si="0"/>
        <v>0.93939393939393945</v>
      </c>
    </row>
    <row r="11" spans="1:20" x14ac:dyDescent="0.2">
      <c r="A11" s="2">
        <v>8</v>
      </c>
      <c r="B11" s="2" t="s">
        <v>59</v>
      </c>
      <c r="C11" s="2">
        <v>21</v>
      </c>
      <c r="D11" s="2">
        <v>33</v>
      </c>
      <c r="E11" s="3">
        <v>-11</v>
      </c>
      <c r="F11" s="2">
        <v>-114</v>
      </c>
      <c r="G11" s="4">
        <f t="shared" si="1"/>
        <v>-11.942857142857141</v>
      </c>
      <c r="H11" s="4">
        <f>(C11-D11) + E11</f>
        <v>-23</v>
      </c>
      <c r="I11" s="3">
        <v>62.5</v>
      </c>
      <c r="J11" s="4">
        <f>I11/2 - E11/2</f>
        <v>36.75</v>
      </c>
      <c r="K11" s="4">
        <f>C11-J11</f>
        <v>-15.75</v>
      </c>
      <c r="L11" s="4">
        <f>I11/2 + E11/2</f>
        <v>25.75</v>
      </c>
      <c r="M11" s="4">
        <f>D11-L11</f>
        <v>7.25</v>
      </c>
      <c r="N11" s="4">
        <f t="shared" si="2"/>
        <v>-23.942857142857143</v>
      </c>
      <c r="O11" s="4">
        <f t="shared" si="3"/>
        <v>37.221428571428568</v>
      </c>
      <c r="P11" s="4">
        <f t="shared" si="4"/>
        <v>-16.221428571428568</v>
      </c>
      <c r="Q11" s="4">
        <f t="shared" si="5"/>
        <v>25.278571428571428</v>
      </c>
      <c r="R11" s="4">
        <f t="shared" si="6"/>
        <v>7.7214285714285715</v>
      </c>
      <c r="S11" s="2">
        <v>-403</v>
      </c>
      <c r="T11" s="11">
        <f t="shared" si="0"/>
        <v>0.80119284294234594</v>
      </c>
    </row>
    <row r="12" spans="1:20" x14ac:dyDescent="0.2">
      <c r="A12" s="2">
        <v>9</v>
      </c>
      <c r="B12" s="2" t="s">
        <v>63</v>
      </c>
      <c r="C12" s="9">
        <v>24</v>
      </c>
      <c r="D12" s="9">
        <v>14</v>
      </c>
      <c r="E12" s="10">
        <v>-5.5</v>
      </c>
      <c r="F12" s="2">
        <v>-109</v>
      </c>
      <c r="G12" s="4">
        <f t="shared" si="1"/>
        <v>-5.7095238095238097</v>
      </c>
      <c r="H12" s="4">
        <f>(C12-D12) + E12</f>
        <v>4.5</v>
      </c>
      <c r="I12" s="3">
        <v>54.5</v>
      </c>
      <c r="J12" s="4">
        <f>I12/2 - E12/2</f>
        <v>30</v>
      </c>
      <c r="K12" s="4">
        <f>C12-J12</f>
        <v>-6</v>
      </c>
      <c r="L12" s="4">
        <f>I12/2 + E12/2</f>
        <v>24.5</v>
      </c>
      <c r="M12" s="4">
        <f>D12-L12</f>
        <v>-10.5</v>
      </c>
      <c r="N12" s="4">
        <f t="shared" si="2"/>
        <v>4.2904761904761903</v>
      </c>
      <c r="O12" s="4">
        <f t="shared" si="3"/>
        <v>30.104761904761904</v>
      </c>
      <c r="P12" s="4">
        <f t="shared" si="4"/>
        <v>-6.1047619047619044</v>
      </c>
      <c r="Q12" s="4">
        <f t="shared" si="5"/>
        <v>24.395238095238096</v>
      </c>
      <c r="R12" s="4">
        <f t="shared" si="6"/>
        <v>-10.395238095238096</v>
      </c>
      <c r="S12" s="2">
        <v>-214</v>
      </c>
      <c r="T12" s="11">
        <f t="shared" si="0"/>
        <v>0.68152866242038213</v>
      </c>
    </row>
    <row r="13" spans="1:20" x14ac:dyDescent="0.2">
      <c r="A13" s="2">
        <v>10</v>
      </c>
      <c r="B13" s="2" t="s">
        <v>140</v>
      </c>
      <c r="C13" s="9">
        <v>24</v>
      </c>
      <c r="D13" s="9">
        <v>20</v>
      </c>
      <c r="E13" s="3">
        <v>-12.5</v>
      </c>
      <c r="F13" s="2">
        <v>-112</v>
      </c>
      <c r="G13" s="4">
        <f t="shared" si="1"/>
        <v>-13.333333333333334</v>
      </c>
      <c r="H13" s="4">
        <f>(C13-D13) + E13</f>
        <v>-8.5</v>
      </c>
      <c r="I13" s="3">
        <v>51</v>
      </c>
      <c r="J13" s="4">
        <f>I13/2 - E13/2</f>
        <v>31.75</v>
      </c>
      <c r="K13" s="4">
        <f>C13-J13</f>
        <v>-7.75</v>
      </c>
      <c r="L13" s="4">
        <f>I13/2 + E13/2</f>
        <v>19.25</v>
      </c>
      <c r="M13" s="4">
        <f>D13-L13</f>
        <v>0.75</v>
      </c>
      <c r="N13" s="4">
        <f t="shared" si="2"/>
        <v>-9.3333333333333339</v>
      </c>
      <c r="O13" s="4">
        <f t="shared" si="3"/>
        <v>32.166666666666664</v>
      </c>
      <c r="P13" s="4">
        <f t="shared" si="4"/>
        <v>-8.1666666666666643</v>
      </c>
      <c r="Q13" s="4">
        <f t="shared" si="5"/>
        <v>18.833333333333332</v>
      </c>
      <c r="R13" s="4">
        <f t="shared" si="6"/>
        <v>1.1666666666666679</v>
      </c>
      <c r="S13" s="2">
        <v>-505</v>
      </c>
      <c r="T13" s="11">
        <f t="shared" si="0"/>
        <v>0.83471074380165289</v>
      </c>
    </row>
    <row r="14" spans="1:20" x14ac:dyDescent="0.2">
      <c r="A14" s="2">
        <v>11</v>
      </c>
      <c r="B14" s="2" t="s">
        <v>149</v>
      </c>
      <c r="C14" s="9">
        <v>51</v>
      </c>
      <c r="D14" s="9">
        <v>14</v>
      </c>
      <c r="E14" s="3">
        <v>-48.5</v>
      </c>
      <c r="F14" s="2">
        <v>-114</v>
      </c>
      <c r="G14" s="4">
        <f t="shared" si="1"/>
        <v>-52.657142857142851</v>
      </c>
      <c r="H14" s="4">
        <f>(C14-D14) + E14</f>
        <v>-11.5</v>
      </c>
      <c r="I14" s="3">
        <v>58.5</v>
      </c>
      <c r="J14" s="4">
        <f>I14/2 - E14/2</f>
        <v>53.5</v>
      </c>
      <c r="K14" s="4">
        <f>C14-J14</f>
        <v>-2.5</v>
      </c>
      <c r="L14" s="4">
        <f>I14/2 + E14/2</f>
        <v>5</v>
      </c>
      <c r="M14" s="4">
        <f>D14-L14</f>
        <v>9</v>
      </c>
      <c r="N14" s="4">
        <f t="shared" si="2"/>
        <v>-15.657142857142851</v>
      </c>
      <c r="O14" s="4">
        <f t="shared" si="3"/>
        <v>55.578571428571422</v>
      </c>
      <c r="P14" s="4">
        <f t="shared" si="4"/>
        <v>-4.5785714285714221</v>
      </c>
      <c r="Q14" s="4">
        <f t="shared" si="5"/>
        <v>2.9214285714285744</v>
      </c>
      <c r="R14" s="4">
        <f t="shared" si="6"/>
        <v>11.078571428571426</v>
      </c>
      <c r="S14" s="2">
        <v>-20000</v>
      </c>
      <c r="T14" s="11">
        <f t="shared" si="0"/>
        <v>0.99502487562189057</v>
      </c>
    </row>
    <row r="15" spans="1:20" x14ac:dyDescent="0.2">
      <c r="A15" s="2">
        <v>12</v>
      </c>
      <c r="B15" s="2" t="s">
        <v>131</v>
      </c>
      <c r="C15" s="2">
        <v>14</v>
      </c>
      <c r="D15" s="2">
        <v>17</v>
      </c>
      <c r="E15" s="3">
        <v>-2.5</v>
      </c>
      <c r="F15" s="2">
        <v>-116</v>
      </c>
      <c r="G15" s="4">
        <f t="shared" si="1"/>
        <v>-2.7619047619047619</v>
      </c>
      <c r="H15" s="4">
        <f>(C15-D15) + E15</f>
        <v>-5.5</v>
      </c>
      <c r="I15" s="3">
        <v>49.5</v>
      </c>
      <c r="J15" s="4">
        <f>I15/2 - E15/2</f>
        <v>26</v>
      </c>
      <c r="K15" s="4">
        <f>C15-J15</f>
        <v>-12</v>
      </c>
      <c r="L15" s="4">
        <f>I15/2 + E15/2</f>
        <v>23.5</v>
      </c>
      <c r="M15" s="4">
        <f>D15-L15</f>
        <v>-6.5</v>
      </c>
      <c r="N15" s="4">
        <f t="shared" si="2"/>
        <v>-5.7619047619047619</v>
      </c>
      <c r="O15" s="4">
        <f t="shared" si="3"/>
        <v>26.13095238095238</v>
      </c>
      <c r="P15" s="4">
        <f t="shared" si="4"/>
        <v>-12.13095238095238</v>
      </c>
      <c r="Q15" s="4">
        <f t="shared" si="5"/>
        <v>23.36904761904762</v>
      </c>
      <c r="R15" s="4">
        <f t="shared" si="6"/>
        <v>-6.3690476190476204</v>
      </c>
      <c r="S15" s="2">
        <v>-140</v>
      </c>
      <c r="T15" s="11">
        <f t="shared" si="0"/>
        <v>0.58333333333333337</v>
      </c>
    </row>
    <row r="16" spans="1:20" x14ac:dyDescent="0.2">
      <c r="A16" s="2" t="s">
        <v>144</v>
      </c>
      <c r="B16" s="2" t="s">
        <v>150</v>
      </c>
      <c r="C16" s="9">
        <v>34</v>
      </c>
      <c r="D16" s="9">
        <v>31</v>
      </c>
      <c r="E16" s="10">
        <v>2.5</v>
      </c>
      <c r="F16" s="2">
        <v>-108</v>
      </c>
      <c r="G16" s="4">
        <f t="shared" si="1"/>
        <v>2.5714285714285712</v>
      </c>
      <c r="H16" s="4">
        <f>(C16-D16) + E16</f>
        <v>5.5</v>
      </c>
      <c r="I16" s="3">
        <v>56.5</v>
      </c>
      <c r="J16" s="4">
        <f>I16/2 - E16/2</f>
        <v>27</v>
      </c>
      <c r="K16" s="4">
        <f>C16-J16</f>
        <v>7</v>
      </c>
      <c r="L16" s="4">
        <f>I16/2 + E16/2</f>
        <v>29.5</v>
      </c>
      <c r="M16" s="4">
        <f>D16-L16</f>
        <v>1.5</v>
      </c>
      <c r="N16" s="4">
        <f t="shared" si="2"/>
        <v>5.5714285714285712</v>
      </c>
      <c r="O16" s="4">
        <f t="shared" si="3"/>
        <v>26.964285714285715</v>
      </c>
      <c r="P16" s="4">
        <f t="shared" si="4"/>
        <v>7.0357142857142847</v>
      </c>
      <c r="Q16" s="4">
        <f t="shared" si="5"/>
        <v>29.535714285714285</v>
      </c>
      <c r="R16" s="4">
        <f t="shared" si="6"/>
        <v>1.4642857142857153</v>
      </c>
      <c r="S16" s="2">
        <v>113</v>
      </c>
      <c r="T16" s="11">
        <f t="shared" si="0"/>
        <v>0.46948356807511737</v>
      </c>
    </row>
    <row r="18" spans="1:20" s="4" customFormat="1" x14ac:dyDescent="0.2">
      <c r="A18" s="5" t="s">
        <v>25</v>
      </c>
      <c r="C18" s="4">
        <f>SUM(C4:C16)</f>
        <v>462</v>
      </c>
      <c r="D18" s="4">
        <f>SUM(D4:D16)</f>
        <v>290</v>
      </c>
      <c r="E18" s="4">
        <f>SUM(E4:E16)</f>
        <v>-183</v>
      </c>
      <c r="F18" s="4">
        <f>SUM(F4:F16)</f>
        <v>-1442</v>
      </c>
      <c r="G18" s="4">
        <f>SUM(G4:G16)</f>
        <v>-194.48095238095235</v>
      </c>
      <c r="H18" s="4">
        <f>SUM(H4:H16)</f>
        <v>-11</v>
      </c>
      <c r="I18" s="4">
        <f>SUM(I4:I16)</f>
        <v>703.5</v>
      </c>
      <c r="J18" s="4">
        <f>SUM(J4:J16)</f>
        <v>443.25</v>
      </c>
      <c r="K18" s="4">
        <f>SUM(K4:K16)</f>
        <v>18.75</v>
      </c>
      <c r="L18" s="4">
        <f>SUM(L4:L16)</f>
        <v>260.25</v>
      </c>
      <c r="M18" s="4">
        <f>SUM(M3:M16)</f>
        <v>29.75</v>
      </c>
      <c r="N18" s="4">
        <f t="shared" ref="N18:R18" si="7">SUM(N3:N16)</f>
        <v>-22.480952380952381</v>
      </c>
      <c r="O18" s="4">
        <f t="shared" si="7"/>
        <v>448.99047619047627</v>
      </c>
      <c r="P18" s="4">
        <f t="shared" si="7"/>
        <v>13.009523809523824</v>
      </c>
      <c r="Q18" s="4">
        <f t="shared" si="7"/>
        <v>254.50952380952381</v>
      </c>
      <c r="R18" s="4">
        <f t="shared" si="7"/>
        <v>35.49047619047618</v>
      </c>
    </row>
    <row r="19" spans="1:20" s="7" customFormat="1" x14ac:dyDescent="0.2">
      <c r="A19" s="6" t="s">
        <v>26</v>
      </c>
      <c r="C19" s="7">
        <f t="shared" ref="C19:S19" si="8">AVERAGE(C4:C16)</f>
        <v>35.53846153846154</v>
      </c>
      <c r="D19" s="7">
        <f t="shared" si="8"/>
        <v>22.307692307692307</v>
      </c>
      <c r="E19" s="7">
        <f t="shared" si="8"/>
        <v>-14.076923076923077</v>
      </c>
      <c r="F19" s="7">
        <f t="shared" si="8"/>
        <v>-110.92307692307692</v>
      </c>
      <c r="G19" s="4">
        <f>AVERAGE(G4:G16)</f>
        <v>-14.960073260073257</v>
      </c>
      <c r="H19" s="7">
        <f t="shared" si="8"/>
        <v>-0.84615384615384615</v>
      </c>
      <c r="I19" s="7">
        <f t="shared" si="8"/>
        <v>54.115384615384613</v>
      </c>
      <c r="J19" s="7">
        <f t="shared" si="8"/>
        <v>34.096153846153847</v>
      </c>
      <c r="K19" s="7">
        <f t="shared" si="8"/>
        <v>1.4423076923076923</v>
      </c>
      <c r="L19" s="7">
        <f t="shared" si="8"/>
        <v>20.01923076923077</v>
      </c>
      <c r="M19" s="7">
        <f t="shared" si="8"/>
        <v>2.2884615384615383</v>
      </c>
      <c r="N19" s="7">
        <f t="shared" si="8"/>
        <v>-1.7293040293040294</v>
      </c>
      <c r="O19" s="7">
        <f t="shared" si="8"/>
        <v>34.537728937728943</v>
      </c>
      <c r="P19" s="7">
        <f t="shared" si="8"/>
        <v>1.0007326007326018</v>
      </c>
      <c r="Q19" s="7">
        <f t="shared" si="8"/>
        <v>19.577655677655677</v>
      </c>
      <c r="R19" s="7">
        <f>AVERAGE(R4:R16)</f>
        <v>2.7300366300366292</v>
      </c>
      <c r="S19" s="7">
        <f t="shared" si="8"/>
        <v>-2218.4615384615386</v>
      </c>
      <c r="T19" s="8">
        <f>AVERAGE(T4:T17)</f>
        <v>0.77742408032681687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9FA6-2077-1049-819F-A2FDE8899CF3}">
  <sheetPr>
    <tabColor rgb="FFC00000"/>
  </sheetPr>
  <dimension ref="A1:T18"/>
  <sheetViews>
    <sheetView zoomScale="58" zoomScaleNormal="100" workbookViewId="0">
      <selection activeCell="P25" sqref="P25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3.6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151</v>
      </c>
      <c r="B1" s="1" t="s">
        <v>152</v>
      </c>
      <c r="C1" s="1" t="s">
        <v>153</v>
      </c>
      <c r="D1" s="1" t="s">
        <v>53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154</v>
      </c>
      <c r="C4" s="9">
        <v>23</v>
      </c>
      <c r="D4" s="9">
        <v>19</v>
      </c>
      <c r="E4" s="3">
        <v>-20.5</v>
      </c>
      <c r="F4" s="2">
        <v>-110</v>
      </c>
      <c r="G4" s="4">
        <f>E4*(F4/-105)</f>
        <v>-21.476190476190478</v>
      </c>
      <c r="H4" s="4">
        <f>(C4-D4) + E4</f>
        <v>-16.5</v>
      </c>
      <c r="I4" s="3">
        <v>49.5</v>
      </c>
      <c r="J4" s="4">
        <f>I4/2 - E4/2</f>
        <v>35</v>
      </c>
      <c r="K4" s="4">
        <f>C4-J4</f>
        <v>-12</v>
      </c>
      <c r="L4" s="4">
        <f>I4/2 + E4/2</f>
        <v>14.5</v>
      </c>
      <c r="M4" s="4">
        <f>D4-L4</f>
        <v>4.5</v>
      </c>
      <c r="N4" s="4">
        <f>(C4-D4) + G4</f>
        <v>-17.476190476190478</v>
      </c>
      <c r="O4" s="4">
        <f>I4/2 - G4/2</f>
        <v>35.488095238095241</v>
      </c>
      <c r="P4" s="4">
        <f>C4-O4</f>
        <v>-12.488095238095241</v>
      </c>
      <c r="Q4" s="4">
        <f>I4/2 + G4/2</f>
        <v>14.011904761904761</v>
      </c>
      <c r="R4" s="4">
        <f>D4-Q4</f>
        <v>4.988095238095239</v>
      </c>
      <c r="S4" s="2">
        <v>-1769</v>
      </c>
      <c r="T4" s="11">
        <f t="shared" ref="T4:T15" si="0">IF(S4&gt;0,100/(100+S4),ABS(S4)/(100+ABS(S4)))</f>
        <v>0.94649545211342967</v>
      </c>
    </row>
    <row r="5" spans="1:20" x14ac:dyDescent="0.2">
      <c r="A5" s="2">
        <v>2</v>
      </c>
      <c r="B5" s="2" t="s">
        <v>42</v>
      </c>
      <c r="C5" s="9">
        <v>31</v>
      </c>
      <c r="D5" s="9">
        <v>6</v>
      </c>
      <c r="E5" s="10">
        <v>9.5</v>
      </c>
      <c r="F5" s="2">
        <v>-111</v>
      </c>
      <c r="G5" s="4">
        <f t="shared" ref="G5:G15" si="1">E5*(F5/-105)</f>
        <v>10.042857142857143</v>
      </c>
      <c r="H5" s="4">
        <f>(C5-D5) + E5</f>
        <v>34.5</v>
      </c>
      <c r="I5" s="3">
        <v>41.5</v>
      </c>
      <c r="J5" s="4">
        <f>I5/2 - E5/2</f>
        <v>16</v>
      </c>
      <c r="K5" s="4">
        <f>C5-J5</f>
        <v>15</v>
      </c>
      <c r="L5" s="4">
        <f>I5/2 + E5/2</f>
        <v>25.5</v>
      </c>
      <c r="M5" s="4">
        <f>D5-L5</f>
        <v>-19.5</v>
      </c>
      <c r="N5" s="4">
        <f t="shared" ref="N5:N15" si="2">(C5-D5) + G5</f>
        <v>35.042857142857144</v>
      </c>
      <c r="O5" s="4">
        <f t="shared" ref="O5:O15" si="3">I5/2 - G5/2</f>
        <v>15.728571428571428</v>
      </c>
      <c r="P5" s="4">
        <f t="shared" ref="P5:P15" si="4">C5-O5</f>
        <v>15.271428571428572</v>
      </c>
      <c r="Q5" s="4">
        <f t="shared" ref="Q5:Q15" si="5">I5/2 + G5/2</f>
        <v>25.771428571428572</v>
      </c>
      <c r="R5" s="4">
        <f t="shared" ref="R5:R15" si="6">D5-Q5</f>
        <v>-19.771428571428572</v>
      </c>
      <c r="S5" s="2">
        <v>280</v>
      </c>
      <c r="T5" s="11">
        <f t="shared" si="0"/>
        <v>0.26315789473684209</v>
      </c>
    </row>
    <row r="6" spans="1:20" x14ac:dyDescent="0.2">
      <c r="A6" s="2">
        <v>3</v>
      </c>
      <c r="B6" s="2" t="s">
        <v>133</v>
      </c>
      <c r="C6" s="2">
        <v>33</v>
      </c>
      <c r="D6" s="2">
        <v>36</v>
      </c>
      <c r="E6" s="10">
        <v>6.5</v>
      </c>
      <c r="F6" s="2">
        <v>-112</v>
      </c>
      <c r="G6" s="4">
        <f t="shared" si="1"/>
        <v>6.9333333333333336</v>
      </c>
      <c r="H6" s="4">
        <f>(C6-D6) + E6</f>
        <v>3.5</v>
      </c>
      <c r="I6" s="3">
        <v>48.5</v>
      </c>
      <c r="J6" s="4">
        <f>I6/2 - E6/2</f>
        <v>21</v>
      </c>
      <c r="K6" s="4">
        <f>C6-J6</f>
        <v>12</v>
      </c>
      <c r="L6" s="4">
        <f>I6/2 + E6/2</f>
        <v>27.5</v>
      </c>
      <c r="M6" s="4">
        <f>D6-L6</f>
        <v>8.5</v>
      </c>
      <c r="N6" s="4">
        <f t="shared" si="2"/>
        <v>3.9333333333333336</v>
      </c>
      <c r="O6" s="4">
        <f t="shared" si="3"/>
        <v>20.783333333333331</v>
      </c>
      <c r="P6" s="4">
        <f t="shared" si="4"/>
        <v>12.216666666666669</v>
      </c>
      <c r="Q6" s="4">
        <f t="shared" si="5"/>
        <v>27.716666666666669</v>
      </c>
      <c r="R6" s="4">
        <f t="shared" si="6"/>
        <v>8.2833333333333314</v>
      </c>
      <c r="S6" s="2">
        <v>203</v>
      </c>
      <c r="T6" s="11">
        <f t="shared" si="0"/>
        <v>0.33003300330033003</v>
      </c>
    </row>
    <row r="7" spans="1:20" x14ac:dyDescent="0.2">
      <c r="A7" s="2">
        <v>4</v>
      </c>
      <c r="B7" s="2" t="s">
        <v>80</v>
      </c>
      <c r="C7" s="9">
        <v>50</v>
      </c>
      <c r="D7" s="9">
        <v>7</v>
      </c>
      <c r="E7" s="10">
        <v>-25</v>
      </c>
      <c r="F7" s="2">
        <v>-110</v>
      </c>
      <c r="G7" s="4">
        <f t="shared" si="1"/>
        <v>-26.190476190476193</v>
      </c>
      <c r="H7" s="4">
        <f>(C7-D7) + E7</f>
        <v>18</v>
      </c>
      <c r="I7" s="3">
        <v>41.5</v>
      </c>
      <c r="J7" s="4">
        <f>I7/2 - E7/2</f>
        <v>33.25</v>
      </c>
      <c r="K7" s="4">
        <f>C7-J7</f>
        <v>16.75</v>
      </c>
      <c r="L7" s="4">
        <f>I7/2 + E7/2</f>
        <v>8.25</v>
      </c>
      <c r="M7" s="4">
        <f>D7-L7</f>
        <v>-1.25</v>
      </c>
      <c r="N7" s="4">
        <f t="shared" si="2"/>
        <v>16.809523809523807</v>
      </c>
      <c r="O7" s="4">
        <f t="shared" si="3"/>
        <v>33.845238095238095</v>
      </c>
      <c r="P7" s="4">
        <f t="shared" si="4"/>
        <v>16.154761904761905</v>
      </c>
      <c r="Q7" s="4">
        <f t="shared" si="5"/>
        <v>7.6547619047619033</v>
      </c>
      <c r="R7" s="4">
        <f t="shared" si="6"/>
        <v>-0.65476190476190332</v>
      </c>
      <c r="S7" s="2">
        <v>-3252</v>
      </c>
      <c r="T7" s="11">
        <f t="shared" si="0"/>
        <v>0.9701670644391408</v>
      </c>
    </row>
    <row r="8" spans="1:20" x14ac:dyDescent="0.2">
      <c r="A8" s="2">
        <v>5</v>
      </c>
      <c r="B8" s="2" t="s">
        <v>48</v>
      </c>
      <c r="C8" s="2">
        <v>3</v>
      </c>
      <c r="D8" s="2">
        <v>27</v>
      </c>
      <c r="E8" s="3">
        <v>10</v>
      </c>
      <c r="F8" s="2">
        <v>-110</v>
      </c>
      <c r="G8" s="4">
        <f t="shared" si="1"/>
        <v>10.476190476190476</v>
      </c>
      <c r="H8" s="4">
        <f>(C8-D8) + E8</f>
        <v>-14</v>
      </c>
      <c r="I8" s="3">
        <v>53</v>
      </c>
      <c r="J8" s="4">
        <f>I8/2 - E8/2</f>
        <v>21.5</v>
      </c>
      <c r="K8" s="4">
        <f>C8-J8</f>
        <v>-18.5</v>
      </c>
      <c r="L8" s="4">
        <f>I8/2 + E8/2</f>
        <v>31.5</v>
      </c>
      <c r="M8" s="4">
        <f>D8-L8</f>
        <v>-4.5</v>
      </c>
      <c r="N8" s="4">
        <f t="shared" si="2"/>
        <v>-13.523809523809524</v>
      </c>
      <c r="O8" s="4">
        <f t="shared" si="3"/>
        <v>21.261904761904763</v>
      </c>
      <c r="P8" s="4">
        <f t="shared" si="4"/>
        <v>-18.261904761904763</v>
      </c>
      <c r="Q8" s="4">
        <f t="shared" si="5"/>
        <v>31.738095238095237</v>
      </c>
      <c r="R8" s="4">
        <f t="shared" si="6"/>
        <v>-4.7380952380952372</v>
      </c>
      <c r="S8" s="2">
        <v>289</v>
      </c>
      <c r="T8" s="11">
        <f t="shared" si="0"/>
        <v>0.25706940874035988</v>
      </c>
    </row>
    <row r="9" spans="1:20" x14ac:dyDescent="0.2">
      <c r="A9" s="2">
        <v>6</v>
      </c>
      <c r="B9" s="2" t="s">
        <v>43</v>
      </c>
      <c r="C9" s="2">
        <v>25</v>
      </c>
      <c r="D9" s="2">
        <v>27</v>
      </c>
      <c r="E9" s="10">
        <v>21.5</v>
      </c>
      <c r="F9" s="2">
        <v>-113</v>
      </c>
      <c r="G9" s="4">
        <f t="shared" si="1"/>
        <v>23.138095238095236</v>
      </c>
      <c r="H9" s="4">
        <f>(C9-D9) + E9</f>
        <v>19.5</v>
      </c>
      <c r="I9" s="3">
        <v>50.5</v>
      </c>
      <c r="J9" s="4">
        <f>I9/2 - E9/2</f>
        <v>14.5</v>
      </c>
      <c r="K9" s="4">
        <f>C9-J9</f>
        <v>10.5</v>
      </c>
      <c r="L9" s="4">
        <f>I9/2 + E9/2</f>
        <v>36</v>
      </c>
      <c r="M9" s="4">
        <f>D9-L9</f>
        <v>-9</v>
      </c>
      <c r="N9" s="4">
        <f t="shared" si="2"/>
        <v>21.138095238095236</v>
      </c>
      <c r="O9" s="4">
        <f t="shared" si="3"/>
        <v>13.680952380952382</v>
      </c>
      <c r="P9" s="4">
        <f t="shared" si="4"/>
        <v>11.319047619047618</v>
      </c>
      <c r="Q9" s="4">
        <f t="shared" si="5"/>
        <v>36.819047619047616</v>
      </c>
      <c r="R9" s="4">
        <f t="shared" si="6"/>
        <v>-9.8190476190476161</v>
      </c>
      <c r="S9" s="2">
        <v>1006</v>
      </c>
      <c r="T9" s="11">
        <f t="shared" si="0"/>
        <v>9.0415913200723327E-2</v>
      </c>
    </row>
    <row r="10" spans="1:20" x14ac:dyDescent="0.2">
      <c r="A10" s="2">
        <v>7</v>
      </c>
      <c r="B10" s="2" t="s">
        <v>71</v>
      </c>
      <c r="C10" s="9">
        <v>35</v>
      </c>
      <c r="D10" s="9">
        <v>9</v>
      </c>
      <c r="E10" s="10">
        <v>-1</v>
      </c>
      <c r="F10" s="2">
        <v>-110</v>
      </c>
      <c r="G10" s="4">
        <f t="shared" si="1"/>
        <v>-1.0476190476190477</v>
      </c>
      <c r="H10" s="4">
        <f>(C10-D10) + E10</f>
        <v>25</v>
      </c>
      <c r="I10" s="3">
        <v>40.5</v>
      </c>
      <c r="J10" s="4">
        <f>I10/2 - E10/2</f>
        <v>20.75</v>
      </c>
      <c r="K10" s="4">
        <f>C10-J10</f>
        <v>14.25</v>
      </c>
      <c r="L10" s="4">
        <f>I10/2 + E10/2</f>
        <v>19.75</v>
      </c>
      <c r="M10" s="4">
        <f>D10-L10</f>
        <v>-10.75</v>
      </c>
      <c r="N10" s="4">
        <f t="shared" si="2"/>
        <v>24.952380952380953</v>
      </c>
      <c r="O10" s="4">
        <f t="shared" si="3"/>
        <v>20.773809523809526</v>
      </c>
      <c r="P10" s="4">
        <f t="shared" si="4"/>
        <v>14.226190476190474</v>
      </c>
      <c r="Q10" s="4">
        <f t="shared" si="5"/>
        <v>19.726190476190474</v>
      </c>
      <c r="R10" s="4">
        <f t="shared" si="6"/>
        <v>-10.726190476190474</v>
      </c>
      <c r="S10" s="2">
        <v>-118</v>
      </c>
      <c r="T10" s="11">
        <f t="shared" si="0"/>
        <v>0.54128440366972475</v>
      </c>
    </row>
    <row r="11" spans="1:20" x14ac:dyDescent="0.2">
      <c r="A11" s="2">
        <v>8</v>
      </c>
      <c r="B11" s="2" t="s">
        <v>56</v>
      </c>
      <c r="C11" s="9">
        <v>44</v>
      </c>
      <c r="D11" s="9">
        <v>20</v>
      </c>
      <c r="E11" s="10">
        <v>3</v>
      </c>
      <c r="F11" s="2">
        <v>-106</v>
      </c>
      <c r="G11" s="4">
        <f t="shared" si="1"/>
        <v>3.0285714285714285</v>
      </c>
      <c r="H11" s="4">
        <f>(C11-D11) + E11</f>
        <v>27</v>
      </c>
      <c r="I11" s="3">
        <v>43.5</v>
      </c>
      <c r="J11" s="4">
        <f>I11/2 - E11/2</f>
        <v>20.25</v>
      </c>
      <c r="K11" s="4">
        <f>C11-J11</f>
        <v>23.75</v>
      </c>
      <c r="L11" s="4">
        <f>I11/2 + E11/2</f>
        <v>23.25</v>
      </c>
      <c r="M11" s="4">
        <f>D11-L11</f>
        <v>-3.25</v>
      </c>
      <c r="N11" s="4">
        <f t="shared" si="2"/>
        <v>27.028571428571428</v>
      </c>
      <c r="O11" s="4">
        <f t="shared" si="3"/>
        <v>20.235714285714288</v>
      </c>
      <c r="P11" s="4">
        <f t="shared" si="4"/>
        <v>23.764285714285712</v>
      </c>
      <c r="Q11" s="4">
        <f t="shared" si="5"/>
        <v>23.264285714285712</v>
      </c>
      <c r="R11" s="4">
        <f t="shared" si="6"/>
        <v>-3.2642857142857125</v>
      </c>
      <c r="S11" s="2">
        <v>130</v>
      </c>
      <c r="T11" s="11">
        <f t="shared" si="0"/>
        <v>0.43478260869565216</v>
      </c>
    </row>
    <row r="12" spans="1:20" x14ac:dyDescent="0.2">
      <c r="A12" s="2">
        <v>9</v>
      </c>
      <c r="B12" s="2" t="s">
        <v>73</v>
      </c>
      <c r="C12" s="9">
        <v>28</v>
      </c>
      <c r="D12" s="9">
        <v>7</v>
      </c>
      <c r="E12" s="10">
        <v>-6</v>
      </c>
      <c r="F12" s="2">
        <v>-110</v>
      </c>
      <c r="G12" s="4">
        <f t="shared" si="1"/>
        <v>-6.2857142857142865</v>
      </c>
      <c r="H12" s="4">
        <f>(C12-D12) + E12</f>
        <v>15</v>
      </c>
      <c r="I12" s="3">
        <v>45</v>
      </c>
      <c r="J12" s="4">
        <f>I12/2 - E12/2</f>
        <v>25.5</v>
      </c>
      <c r="K12" s="4">
        <f>C12-J12</f>
        <v>2.5</v>
      </c>
      <c r="L12" s="4">
        <f>I12/2 + E12/2</f>
        <v>19.5</v>
      </c>
      <c r="M12" s="4">
        <f>D12-L12</f>
        <v>-12.5</v>
      </c>
      <c r="N12" s="4">
        <f t="shared" si="2"/>
        <v>14.714285714285714</v>
      </c>
      <c r="O12" s="4">
        <f t="shared" si="3"/>
        <v>25.642857142857142</v>
      </c>
      <c r="P12" s="4">
        <f t="shared" si="4"/>
        <v>2.3571428571428577</v>
      </c>
      <c r="Q12" s="4">
        <f t="shared" si="5"/>
        <v>19.357142857142858</v>
      </c>
      <c r="R12" s="4">
        <f t="shared" si="6"/>
        <v>-12.357142857142858</v>
      </c>
      <c r="S12" s="2">
        <v>-221</v>
      </c>
      <c r="T12" s="11">
        <f t="shared" si="0"/>
        <v>0.68847352024922115</v>
      </c>
    </row>
    <row r="13" spans="1:20" x14ac:dyDescent="0.2">
      <c r="A13" s="2">
        <v>10</v>
      </c>
      <c r="B13" s="2" t="s">
        <v>132</v>
      </c>
      <c r="C13" s="9">
        <v>34</v>
      </c>
      <c r="D13" s="9">
        <v>30</v>
      </c>
      <c r="E13" s="3">
        <v>-10.5</v>
      </c>
      <c r="F13" s="2">
        <v>-112</v>
      </c>
      <c r="G13" s="4">
        <f t="shared" si="1"/>
        <v>-11.2</v>
      </c>
      <c r="H13" s="4">
        <f>(C13-D13) + E13</f>
        <v>-6.5</v>
      </c>
      <c r="I13" s="3">
        <v>42.5</v>
      </c>
      <c r="J13" s="4">
        <f>I13/2 - E13/2</f>
        <v>26.5</v>
      </c>
      <c r="K13" s="4">
        <f>C13-J13</f>
        <v>7.5</v>
      </c>
      <c r="L13" s="4">
        <f>I13/2 + E13/2</f>
        <v>16</v>
      </c>
      <c r="M13" s="4">
        <f>D13-L13</f>
        <v>14</v>
      </c>
      <c r="N13" s="4">
        <f t="shared" si="2"/>
        <v>-7.1999999999999993</v>
      </c>
      <c r="O13" s="4">
        <f t="shared" si="3"/>
        <v>26.85</v>
      </c>
      <c r="P13" s="4">
        <f t="shared" si="4"/>
        <v>7.1499999999999986</v>
      </c>
      <c r="Q13" s="4">
        <f t="shared" si="5"/>
        <v>15.65</v>
      </c>
      <c r="R13" s="4">
        <f t="shared" si="6"/>
        <v>14.35</v>
      </c>
      <c r="S13" s="2">
        <v>-418</v>
      </c>
      <c r="T13" s="11">
        <f t="shared" si="0"/>
        <v>0.806949806949807</v>
      </c>
    </row>
    <row r="14" spans="1:20" x14ac:dyDescent="0.2">
      <c r="A14" s="2">
        <v>11</v>
      </c>
      <c r="B14" s="2" t="s">
        <v>155</v>
      </c>
      <c r="C14" s="9">
        <v>56</v>
      </c>
      <c r="D14" s="9">
        <v>12</v>
      </c>
      <c r="E14" s="10">
        <v>-42.5</v>
      </c>
      <c r="F14" s="2">
        <v>-109</v>
      </c>
      <c r="G14" s="4">
        <f t="shared" si="1"/>
        <v>-44.11904761904762</v>
      </c>
      <c r="H14" s="4">
        <f>(C14-D14) + E14</f>
        <v>1.5</v>
      </c>
      <c r="I14" s="3">
        <v>49.5</v>
      </c>
      <c r="J14" s="4">
        <f>I14/2 - E14/2</f>
        <v>46</v>
      </c>
      <c r="K14" s="4">
        <f>C14-J14</f>
        <v>10</v>
      </c>
      <c r="L14" s="4">
        <f>I14/2 + E14/2</f>
        <v>3.5</v>
      </c>
      <c r="M14" s="4">
        <f>D14-L14</f>
        <v>8.5</v>
      </c>
      <c r="N14" s="4">
        <f t="shared" si="2"/>
        <v>-0.1190476190476204</v>
      </c>
      <c r="O14" s="4">
        <f t="shared" si="3"/>
        <v>46.80952380952381</v>
      </c>
      <c r="P14" s="4">
        <f t="shared" si="4"/>
        <v>9.1904761904761898</v>
      </c>
      <c r="Q14" s="4">
        <f t="shared" si="5"/>
        <v>2.6904761904761898</v>
      </c>
      <c r="R14" s="4">
        <f t="shared" si="6"/>
        <v>9.3095238095238102</v>
      </c>
      <c r="S14" s="2">
        <v>-20000</v>
      </c>
      <c r="T14" s="11">
        <f t="shared" si="0"/>
        <v>0.99502487562189057</v>
      </c>
    </row>
    <row r="15" spans="1:20" x14ac:dyDescent="0.2">
      <c r="A15" s="2">
        <v>12</v>
      </c>
      <c r="B15" s="2" t="s">
        <v>40</v>
      </c>
      <c r="C15" s="9">
        <v>17</v>
      </c>
      <c r="D15" s="9">
        <v>14</v>
      </c>
      <c r="E15" s="10">
        <v>2.5</v>
      </c>
      <c r="F15" s="2">
        <v>-106</v>
      </c>
      <c r="G15" s="4">
        <f t="shared" si="1"/>
        <v>2.5238095238095237</v>
      </c>
      <c r="H15" s="4">
        <f>(C15-D15) + E15</f>
        <v>5.5</v>
      </c>
      <c r="I15" s="3">
        <v>49.5</v>
      </c>
      <c r="J15" s="4">
        <f>I15/2 - E15/2</f>
        <v>23.5</v>
      </c>
      <c r="K15" s="4">
        <f>C15-J15</f>
        <v>-6.5</v>
      </c>
      <c r="L15" s="4">
        <f>I15/2 + E15/2</f>
        <v>26</v>
      </c>
      <c r="M15" s="4">
        <f>D15-L15</f>
        <v>-12</v>
      </c>
      <c r="N15" s="4">
        <f t="shared" si="2"/>
        <v>5.5238095238095237</v>
      </c>
      <c r="O15" s="4">
        <f t="shared" si="3"/>
        <v>23.488095238095237</v>
      </c>
      <c r="P15" s="4">
        <f t="shared" si="4"/>
        <v>-6.4880952380952372</v>
      </c>
      <c r="Q15" s="4">
        <f t="shared" si="5"/>
        <v>26.011904761904763</v>
      </c>
      <c r="R15" s="4">
        <f t="shared" si="6"/>
        <v>-12.011904761904763</v>
      </c>
      <c r="S15" s="2">
        <v>117</v>
      </c>
      <c r="T15" s="11">
        <f t="shared" si="0"/>
        <v>0.46082949308755761</v>
      </c>
    </row>
    <row r="17" spans="1:20" s="4" customFormat="1" x14ac:dyDescent="0.2">
      <c r="A17" s="5" t="s">
        <v>25</v>
      </c>
      <c r="C17" s="4">
        <f>SUM(C4:C15)</f>
        <v>379</v>
      </c>
      <c r="D17" s="4">
        <f>SUM(D4:D15)</f>
        <v>214</v>
      </c>
      <c r="E17" s="4">
        <f t="shared" ref="E17:F17" si="7">SUM(E4:E15)</f>
        <v>-52.5</v>
      </c>
      <c r="F17" s="4">
        <f t="shared" si="7"/>
        <v>-1319</v>
      </c>
      <c r="G17" s="4">
        <f>SUM(G4:G15)</f>
        <v>-54.176190476190484</v>
      </c>
      <c r="H17" s="4">
        <f>SUM(H4:H15)</f>
        <v>112.5</v>
      </c>
      <c r="I17" s="4">
        <f>SUM(I4:I15)</f>
        <v>555</v>
      </c>
      <c r="J17" s="4">
        <f>SUM(J4:J15)</f>
        <v>303.75</v>
      </c>
      <c r="K17" s="4">
        <f>SUM(K4:K15)</f>
        <v>75.25</v>
      </c>
      <c r="L17" s="4">
        <f>SUM(L4:L15)</f>
        <v>251.25</v>
      </c>
      <c r="M17" s="4">
        <f>SUM(M3:M15)</f>
        <v>-37.25</v>
      </c>
      <c r="N17" s="4">
        <f>SUM(N3:N15)</f>
        <v>110.8238095238095</v>
      </c>
      <c r="O17" s="4">
        <f>SUM(O3:O15)</f>
        <v>304.58809523809526</v>
      </c>
      <c r="P17" s="4">
        <f>SUM(P3:P15)</f>
        <v>74.411904761904751</v>
      </c>
      <c r="Q17" s="4">
        <f>SUM(Q3:Q15)</f>
        <v>250.41190476190474</v>
      </c>
      <c r="R17" s="4">
        <f>SUM(R3:R15)</f>
        <v>-36.411904761904751</v>
      </c>
    </row>
    <row r="18" spans="1:20" s="7" customFormat="1" x14ac:dyDescent="0.2">
      <c r="A18" s="6" t="s">
        <v>26</v>
      </c>
      <c r="C18" s="7">
        <f>AVERAGE(C4:C15)</f>
        <v>31.583333333333332</v>
      </c>
      <c r="D18" s="7">
        <f>AVERAGE(D4:D15)</f>
        <v>17.833333333333332</v>
      </c>
      <c r="E18" s="7">
        <f>AVERAGE(E4:E15)</f>
        <v>-4.375</v>
      </c>
      <c r="F18" s="7">
        <f>AVERAGE(F4:F15)</f>
        <v>-109.91666666666667</v>
      </c>
      <c r="G18" s="4">
        <f>AVERAGE(G4:G15)</f>
        <v>-4.5146825396825401</v>
      </c>
      <c r="H18" s="7">
        <f>AVERAGE(H4:H15)</f>
        <v>9.375</v>
      </c>
      <c r="I18" s="7">
        <f>AVERAGE(I4:I15)</f>
        <v>46.25</v>
      </c>
      <c r="J18" s="7">
        <f>AVERAGE(J4:J15)</f>
        <v>25.3125</v>
      </c>
      <c r="K18" s="7">
        <f>AVERAGE(K4:K15)</f>
        <v>6.270833333333333</v>
      </c>
      <c r="L18" s="7">
        <f>AVERAGE(L4:L15)</f>
        <v>20.9375</v>
      </c>
      <c r="M18" s="7">
        <f>AVERAGE(M4:M15)</f>
        <v>-3.1041666666666665</v>
      </c>
      <c r="N18" s="7">
        <f>AVERAGE(N4:N15)</f>
        <v>9.235317460317459</v>
      </c>
      <c r="O18" s="7">
        <f>AVERAGE(O4:O15)</f>
        <v>25.382341269841273</v>
      </c>
      <c r="P18" s="7">
        <f>AVERAGE(P4:P15)</f>
        <v>6.2009920634920626</v>
      </c>
      <c r="Q18" s="7">
        <f>AVERAGE(Q4:Q15)</f>
        <v>20.867658730158727</v>
      </c>
      <c r="R18" s="7">
        <f>AVERAGE(R4:R15)</f>
        <v>-3.034325396825396</v>
      </c>
      <c r="S18" s="7">
        <f>AVERAGE(S4:S15)</f>
        <v>-1979.4166666666667</v>
      </c>
      <c r="T18" s="8">
        <f>AVERAGE(T4:T16)</f>
        <v>0.56539028706705663</v>
      </c>
    </row>
  </sheetData>
  <pageMargins left="0.7" right="0.7" top="0.75" bottom="0.75" header="0.3" footer="0.3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1F79-3D8F-2649-B0BC-B67F48B5D61E}">
  <sheetPr>
    <tabColor theme="9"/>
  </sheetPr>
  <dimension ref="A1:T18"/>
  <sheetViews>
    <sheetView zoomScale="49" zoomScaleNormal="100" workbookViewId="0">
      <selection activeCell="R24" sqref="R24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4.1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156</v>
      </c>
      <c r="B1" s="1" t="s">
        <v>157</v>
      </c>
      <c r="C1" s="1" t="s">
        <v>153</v>
      </c>
      <c r="D1" s="1" t="s">
        <v>136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47</v>
      </c>
      <c r="C4" s="9">
        <v>41</v>
      </c>
      <c r="D4" s="9">
        <v>17</v>
      </c>
      <c r="E4" s="10">
        <v>-2.5</v>
      </c>
      <c r="F4" s="2">
        <v>-112</v>
      </c>
      <c r="G4" s="4">
        <f>E4*(F4/-105)</f>
        <v>-2.6666666666666665</v>
      </c>
      <c r="H4" s="4">
        <f>(C4-D4) + E4</f>
        <v>21.5</v>
      </c>
      <c r="I4" s="3">
        <v>54</v>
      </c>
      <c r="J4" s="4">
        <f>I4/2 - E4/2</f>
        <v>28.25</v>
      </c>
      <c r="K4" s="4">
        <f>C4-J4</f>
        <v>12.75</v>
      </c>
      <c r="L4" s="4">
        <f>I4/2 + E4/2</f>
        <v>25.75</v>
      </c>
      <c r="M4" s="4">
        <f>D4-L4</f>
        <v>-8.75</v>
      </c>
      <c r="N4" s="4">
        <f>(C4-D4) + G4</f>
        <v>21.333333333333332</v>
      </c>
      <c r="O4" s="4">
        <f>I4/2 - G4/2</f>
        <v>28.333333333333332</v>
      </c>
      <c r="P4" s="4">
        <f>C4-O4</f>
        <v>12.666666666666668</v>
      </c>
      <c r="Q4" s="4">
        <f>I4/2 + G4/2</f>
        <v>25.666666666666668</v>
      </c>
      <c r="R4" s="4">
        <f>D4-Q4</f>
        <v>-8.6666666666666679</v>
      </c>
      <c r="S4" s="2">
        <v>-138</v>
      </c>
      <c r="T4" s="11">
        <f t="shared" ref="T4:T15" si="0">IF(S4&gt;0,100/(100+S4),ABS(S4)/(100+ABS(S4)))</f>
        <v>0.57983193277310929</v>
      </c>
    </row>
    <row r="5" spans="1:20" x14ac:dyDescent="0.2">
      <c r="A5" s="2">
        <v>2</v>
      </c>
      <c r="B5" s="2" t="s">
        <v>158</v>
      </c>
      <c r="C5" s="9">
        <v>56</v>
      </c>
      <c r="D5" s="9">
        <v>9</v>
      </c>
      <c r="E5" s="3">
        <v>-48</v>
      </c>
      <c r="F5" s="2">
        <v>-111</v>
      </c>
      <c r="G5" s="4">
        <f t="shared" ref="G5:G15" si="1">E5*(F5/-105)</f>
        <v>-50.742857142857147</v>
      </c>
      <c r="H5" s="4">
        <f>(C5-D5) + E5</f>
        <v>-1</v>
      </c>
      <c r="I5" s="3">
        <v>56.5</v>
      </c>
      <c r="J5" s="4">
        <f>I5/2 - E5/2</f>
        <v>52.25</v>
      </c>
      <c r="K5" s="4">
        <f>C5-J5</f>
        <v>3.75</v>
      </c>
      <c r="L5" s="4">
        <f>I5/2 + E5/2</f>
        <v>4.25</v>
      </c>
      <c r="M5" s="4">
        <f>D5-L5</f>
        <v>4.75</v>
      </c>
      <c r="N5" s="4">
        <f t="shared" ref="N5:N15" si="2">(C5-D5) + G5</f>
        <v>-3.7428571428571473</v>
      </c>
      <c r="O5" s="4">
        <f t="shared" ref="O5:O15" si="3">I5/2 - G5/2</f>
        <v>53.621428571428574</v>
      </c>
      <c r="P5" s="4">
        <f t="shared" ref="P5:P15" si="4">C5-O5</f>
        <v>2.3785714285714263</v>
      </c>
      <c r="Q5" s="4">
        <f t="shared" ref="Q5:Q15" si="5">I5/2 + G5/2</f>
        <v>2.8785714285714263</v>
      </c>
      <c r="R5" s="4">
        <f t="shared" ref="R5:R15" si="6">D5-Q5</f>
        <v>6.1214285714285737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159</v>
      </c>
      <c r="C6" s="9">
        <v>62</v>
      </c>
      <c r="D6" s="9">
        <v>0</v>
      </c>
      <c r="E6" s="3">
        <v>-37.5</v>
      </c>
      <c r="F6" s="2">
        <v>-110</v>
      </c>
      <c r="G6" s="4">
        <f t="shared" si="1"/>
        <v>-39.285714285714285</v>
      </c>
      <c r="H6" s="4">
        <f>(C6-D6) + E6</f>
        <v>24.5</v>
      </c>
      <c r="I6" s="3">
        <v>55.5</v>
      </c>
      <c r="J6" s="4">
        <f>I6/2 - E6/2</f>
        <v>46.5</v>
      </c>
      <c r="K6" s="4">
        <f>C6-J6</f>
        <v>15.5</v>
      </c>
      <c r="L6" s="4">
        <f>I6/2 + E6/2</f>
        <v>9</v>
      </c>
      <c r="M6" s="4">
        <f>D6-L6</f>
        <v>-9</v>
      </c>
      <c r="N6" s="4">
        <f t="shared" si="2"/>
        <v>22.714285714285715</v>
      </c>
      <c r="O6" s="4">
        <f t="shared" si="3"/>
        <v>47.392857142857139</v>
      </c>
      <c r="P6" s="4">
        <f t="shared" si="4"/>
        <v>14.607142857142861</v>
      </c>
      <c r="Q6" s="4">
        <f t="shared" si="5"/>
        <v>8.1071428571428577</v>
      </c>
      <c r="R6" s="4">
        <f t="shared" si="6"/>
        <v>-8.1071428571428577</v>
      </c>
      <c r="S6" s="2">
        <v>-20000</v>
      </c>
      <c r="T6" s="11">
        <f t="shared" si="0"/>
        <v>0.99502487562189057</v>
      </c>
    </row>
    <row r="7" spans="1:20" x14ac:dyDescent="0.2">
      <c r="A7" s="2">
        <v>4</v>
      </c>
      <c r="B7" s="2" t="s">
        <v>130</v>
      </c>
      <c r="C7" s="9">
        <v>50</v>
      </c>
      <c r="D7" s="9">
        <v>15</v>
      </c>
      <c r="E7" s="10">
        <v>-16.5</v>
      </c>
      <c r="F7" s="2">
        <v>-110</v>
      </c>
      <c r="G7" s="4">
        <f t="shared" si="1"/>
        <v>-17.285714285714288</v>
      </c>
      <c r="H7" s="4">
        <f>(C7-D7) + E7</f>
        <v>18.5</v>
      </c>
      <c r="I7" s="3">
        <v>65</v>
      </c>
      <c r="J7" s="4">
        <f>I7/2 - E7/2</f>
        <v>40.75</v>
      </c>
      <c r="K7" s="4">
        <f>C7-J7</f>
        <v>9.25</v>
      </c>
      <c r="L7" s="4">
        <f>I7/2 + E7/2</f>
        <v>24.25</v>
      </c>
      <c r="M7" s="4">
        <f>D7-L7</f>
        <v>-9.25</v>
      </c>
      <c r="N7" s="4">
        <f t="shared" si="2"/>
        <v>17.714285714285712</v>
      </c>
      <c r="O7" s="4">
        <f t="shared" si="3"/>
        <v>41.142857142857146</v>
      </c>
      <c r="P7" s="4">
        <f t="shared" si="4"/>
        <v>8.8571428571428541</v>
      </c>
      <c r="Q7" s="4">
        <f t="shared" si="5"/>
        <v>23.857142857142854</v>
      </c>
      <c r="R7" s="4">
        <f t="shared" si="6"/>
        <v>-8.8571428571428541</v>
      </c>
      <c r="S7" s="2">
        <v>-887</v>
      </c>
      <c r="T7" s="11">
        <f t="shared" si="0"/>
        <v>0.89868287740628161</v>
      </c>
    </row>
    <row r="8" spans="1:20" x14ac:dyDescent="0.2">
      <c r="A8" s="2">
        <v>5</v>
      </c>
      <c r="B8" s="2" t="s">
        <v>63</v>
      </c>
      <c r="C8" s="9">
        <v>38</v>
      </c>
      <c r="D8" s="9">
        <v>34</v>
      </c>
      <c r="E8" s="3">
        <v>-17.5</v>
      </c>
      <c r="F8" s="2">
        <v>-112</v>
      </c>
      <c r="G8" s="4">
        <f t="shared" si="1"/>
        <v>-18.666666666666668</v>
      </c>
      <c r="H8" s="4">
        <f>(C8-D8) + E8</f>
        <v>-13.5</v>
      </c>
      <c r="I8" s="3">
        <v>55.5</v>
      </c>
      <c r="J8" s="4">
        <f>I8/2 - E8/2</f>
        <v>36.5</v>
      </c>
      <c r="K8" s="4">
        <f>C8-J8</f>
        <v>1.5</v>
      </c>
      <c r="L8" s="4">
        <f>I8/2 + E8/2</f>
        <v>19</v>
      </c>
      <c r="M8" s="4">
        <f>D8-L8</f>
        <v>15</v>
      </c>
      <c r="N8" s="4">
        <f t="shared" si="2"/>
        <v>-14.666666666666668</v>
      </c>
      <c r="O8" s="4">
        <f t="shared" si="3"/>
        <v>37.083333333333336</v>
      </c>
      <c r="P8" s="4">
        <f t="shared" si="4"/>
        <v>0.9166666666666643</v>
      </c>
      <c r="Q8" s="4">
        <f t="shared" si="5"/>
        <v>18.416666666666664</v>
      </c>
      <c r="R8" s="4">
        <f t="shared" si="6"/>
        <v>15.583333333333336</v>
      </c>
      <c r="S8" s="2">
        <v>-964</v>
      </c>
      <c r="T8" s="11">
        <f t="shared" si="0"/>
        <v>0.90601503759398494</v>
      </c>
    </row>
    <row r="9" spans="1:20" x14ac:dyDescent="0.2">
      <c r="A9" s="2">
        <v>6</v>
      </c>
      <c r="B9" s="2" t="s">
        <v>143</v>
      </c>
      <c r="C9" s="9">
        <v>39</v>
      </c>
      <c r="D9" s="9">
        <v>38</v>
      </c>
      <c r="E9" s="3">
        <v>-10</v>
      </c>
      <c r="F9" s="2">
        <v>-108</v>
      </c>
      <c r="G9" s="4">
        <f t="shared" si="1"/>
        <v>-10.285714285714285</v>
      </c>
      <c r="H9" s="4">
        <f>(C9-D9) + E9</f>
        <v>-9</v>
      </c>
      <c r="I9" s="3">
        <v>54</v>
      </c>
      <c r="J9" s="4">
        <f>I9/2 - E9/2</f>
        <v>32</v>
      </c>
      <c r="K9" s="4">
        <f>C9-J9</f>
        <v>7</v>
      </c>
      <c r="L9" s="4">
        <f>I9/2 + E9/2</f>
        <v>22</v>
      </c>
      <c r="M9" s="4">
        <f>D9-L9</f>
        <v>16</v>
      </c>
      <c r="N9" s="4">
        <f t="shared" si="2"/>
        <v>-9.2857142857142847</v>
      </c>
      <c r="O9" s="4">
        <f t="shared" si="3"/>
        <v>32.142857142857139</v>
      </c>
      <c r="P9" s="4">
        <f t="shared" si="4"/>
        <v>6.8571428571428612</v>
      </c>
      <c r="Q9" s="4">
        <f t="shared" si="5"/>
        <v>21.857142857142858</v>
      </c>
      <c r="R9" s="4">
        <f t="shared" si="6"/>
        <v>16.142857142857142</v>
      </c>
      <c r="S9" s="2">
        <v>-380</v>
      </c>
      <c r="T9" s="11">
        <f t="shared" si="0"/>
        <v>0.79166666666666663</v>
      </c>
    </row>
    <row r="10" spans="1:20" x14ac:dyDescent="0.2">
      <c r="A10" s="2">
        <v>7</v>
      </c>
      <c r="B10" s="2" t="s">
        <v>59</v>
      </c>
      <c r="C10" s="9">
        <v>52</v>
      </c>
      <c r="D10" s="9">
        <v>45</v>
      </c>
      <c r="E10" s="10">
        <v>-4</v>
      </c>
      <c r="F10" s="2">
        <v>-109</v>
      </c>
      <c r="G10" s="4">
        <f t="shared" si="1"/>
        <v>-4.1523809523809527</v>
      </c>
      <c r="H10" s="4">
        <f>(C10-D10) + E10</f>
        <v>3</v>
      </c>
      <c r="I10" s="3">
        <v>60.5</v>
      </c>
      <c r="J10" s="4">
        <f>I10/2 - E10/2</f>
        <v>32.25</v>
      </c>
      <c r="K10" s="4">
        <f>C10-J10</f>
        <v>19.75</v>
      </c>
      <c r="L10" s="4">
        <f>I10/2 + E10/2</f>
        <v>28.25</v>
      </c>
      <c r="M10" s="4">
        <f>D10-L10</f>
        <v>16.75</v>
      </c>
      <c r="N10" s="4">
        <f t="shared" si="2"/>
        <v>2.8476190476190473</v>
      </c>
      <c r="O10" s="4">
        <f t="shared" si="3"/>
        <v>32.326190476190476</v>
      </c>
      <c r="P10" s="4">
        <f t="shared" si="4"/>
        <v>19.673809523809524</v>
      </c>
      <c r="Q10" s="4">
        <f t="shared" si="5"/>
        <v>28.173809523809524</v>
      </c>
      <c r="R10" s="4">
        <f t="shared" si="6"/>
        <v>16.826190476190476</v>
      </c>
      <c r="S10" s="2">
        <v>-193</v>
      </c>
      <c r="T10" s="11">
        <f t="shared" si="0"/>
        <v>0.65870307167235498</v>
      </c>
    </row>
    <row r="11" spans="1:20" x14ac:dyDescent="0.2">
      <c r="A11" s="2">
        <v>8</v>
      </c>
      <c r="B11" s="2" t="s">
        <v>62</v>
      </c>
      <c r="C11" s="9">
        <v>36</v>
      </c>
      <c r="D11" s="9">
        <v>14</v>
      </c>
      <c r="E11" s="3">
        <v>-23</v>
      </c>
      <c r="F11" s="2">
        <v>-110</v>
      </c>
      <c r="G11" s="4">
        <f t="shared" si="1"/>
        <v>-24.095238095238095</v>
      </c>
      <c r="H11" s="4">
        <f>(C11-D11) + E11</f>
        <v>-1</v>
      </c>
      <c r="I11" s="3">
        <v>54.5</v>
      </c>
      <c r="J11" s="4">
        <f>I11/2 - E11/2</f>
        <v>38.75</v>
      </c>
      <c r="K11" s="4">
        <f>C11-J11</f>
        <v>-2.75</v>
      </c>
      <c r="L11" s="4">
        <f>I11/2 + E11/2</f>
        <v>15.75</v>
      </c>
      <c r="M11" s="4">
        <f>D11-L11</f>
        <v>-1.75</v>
      </c>
      <c r="N11" s="4">
        <f t="shared" si="2"/>
        <v>-2.0952380952380949</v>
      </c>
      <c r="O11" s="4">
        <f t="shared" si="3"/>
        <v>39.297619047619051</v>
      </c>
      <c r="P11" s="4">
        <f t="shared" si="4"/>
        <v>-3.297619047619051</v>
      </c>
      <c r="Q11" s="4">
        <f t="shared" si="5"/>
        <v>15.202380952380953</v>
      </c>
      <c r="R11" s="4">
        <f t="shared" si="6"/>
        <v>-1.2023809523809526</v>
      </c>
      <c r="S11" s="2">
        <v>-2703</v>
      </c>
      <c r="T11" s="11">
        <f t="shared" si="0"/>
        <v>0.96432393863717447</v>
      </c>
    </row>
    <row r="12" spans="1:20" x14ac:dyDescent="0.2">
      <c r="A12" s="2">
        <v>9</v>
      </c>
      <c r="B12" s="2" t="s">
        <v>139</v>
      </c>
      <c r="C12" s="9">
        <v>53</v>
      </c>
      <c r="D12" s="9">
        <v>31</v>
      </c>
      <c r="E12" s="10">
        <v>-21</v>
      </c>
      <c r="F12" s="2">
        <v>-108</v>
      </c>
      <c r="G12" s="4">
        <f t="shared" si="1"/>
        <v>-21.599999999999998</v>
      </c>
      <c r="H12" s="4">
        <f>(C12-D12) + E12</f>
        <v>1</v>
      </c>
      <c r="I12" s="3">
        <v>55.5</v>
      </c>
      <c r="J12" s="4">
        <f>I12/2 - E12/2</f>
        <v>38.25</v>
      </c>
      <c r="K12" s="4">
        <f>C12-J12</f>
        <v>14.75</v>
      </c>
      <c r="L12" s="4">
        <f>I12/2 + E12/2</f>
        <v>17.25</v>
      </c>
      <c r="M12" s="4">
        <f>D12-L12</f>
        <v>13.75</v>
      </c>
      <c r="N12" s="4">
        <f t="shared" si="2"/>
        <v>0.40000000000000213</v>
      </c>
      <c r="O12" s="4">
        <f t="shared" si="3"/>
        <v>38.549999999999997</v>
      </c>
      <c r="P12" s="4">
        <f t="shared" si="4"/>
        <v>14.450000000000003</v>
      </c>
      <c r="Q12" s="4">
        <f t="shared" si="5"/>
        <v>16.950000000000003</v>
      </c>
      <c r="R12" s="4">
        <f t="shared" si="6"/>
        <v>14.049999999999997</v>
      </c>
      <c r="S12" s="2">
        <v>-1529</v>
      </c>
      <c r="T12" s="11">
        <f t="shared" si="0"/>
        <v>0.93861264579496628</v>
      </c>
    </row>
    <row r="13" spans="1:20" x14ac:dyDescent="0.2">
      <c r="A13" s="2">
        <v>10</v>
      </c>
      <c r="B13" s="2" t="s">
        <v>51</v>
      </c>
      <c r="C13" s="2">
        <v>23</v>
      </c>
      <c r="D13" s="2">
        <v>28</v>
      </c>
      <c r="E13" s="3">
        <v>-8.5</v>
      </c>
      <c r="F13" s="2">
        <v>-111</v>
      </c>
      <c r="G13" s="4">
        <f t="shared" si="1"/>
        <v>-8.9857142857142858</v>
      </c>
      <c r="H13" s="4">
        <f>(C13-D13) + E13</f>
        <v>-13.5</v>
      </c>
      <c r="I13" s="3">
        <v>65</v>
      </c>
      <c r="J13" s="4">
        <f>I13/2 - E13/2</f>
        <v>36.75</v>
      </c>
      <c r="K13" s="4">
        <f>C13-J13</f>
        <v>-13.75</v>
      </c>
      <c r="L13" s="4">
        <f>I13/2 + E13/2</f>
        <v>28.25</v>
      </c>
      <c r="M13" s="4">
        <f>D13-L13</f>
        <v>-0.25</v>
      </c>
      <c r="N13" s="4">
        <f t="shared" si="2"/>
        <v>-13.985714285714286</v>
      </c>
      <c r="O13" s="4">
        <f t="shared" si="3"/>
        <v>36.99285714285714</v>
      </c>
      <c r="P13" s="4">
        <f t="shared" si="4"/>
        <v>-13.99285714285714</v>
      </c>
      <c r="Q13" s="4">
        <f t="shared" si="5"/>
        <v>28.007142857142856</v>
      </c>
      <c r="R13" s="4">
        <f t="shared" si="6"/>
        <v>-7.1428571428562293E-3</v>
      </c>
      <c r="S13" s="2">
        <v>-343</v>
      </c>
      <c r="T13" s="11">
        <f t="shared" si="0"/>
        <v>0.77426636568848761</v>
      </c>
    </row>
    <row r="14" spans="1:20" x14ac:dyDescent="0.2">
      <c r="A14" s="2">
        <v>11</v>
      </c>
      <c r="B14" s="2" t="s">
        <v>148</v>
      </c>
      <c r="C14" s="9">
        <v>42</v>
      </c>
      <c r="D14" s="9">
        <v>14</v>
      </c>
      <c r="E14" s="10">
        <v>-23.5</v>
      </c>
      <c r="F14" s="2">
        <v>-109</v>
      </c>
      <c r="G14" s="4">
        <f t="shared" si="1"/>
        <v>-24.395238095238096</v>
      </c>
      <c r="H14" s="4">
        <f>(C14-D14) + E14</f>
        <v>4.5</v>
      </c>
      <c r="I14" s="3">
        <v>67.5</v>
      </c>
      <c r="J14" s="4">
        <f>I14/2 - E14/2</f>
        <v>45.5</v>
      </c>
      <c r="K14" s="4">
        <f>C14-J14</f>
        <v>-3.5</v>
      </c>
      <c r="L14" s="4">
        <f>I14/2 + E14/2</f>
        <v>22</v>
      </c>
      <c r="M14" s="4">
        <f>D14-L14</f>
        <v>-8</v>
      </c>
      <c r="N14" s="4">
        <f t="shared" si="2"/>
        <v>3.6047619047619044</v>
      </c>
      <c r="O14" s="4">
        <f t="shared" si="3"/>
        <v>45.94761904761905</v>
      </c>
      <c r="P14" s="4">
        <f t="shared" si="4"/>
        <v>-3.9476190476190496</v>
      </c>
      <c r="Q14" s="4">
        <f t="shared" si="5"/>
        <v>21.55238095238095</v>
      </c>
      <c r="R14" s="4">
        <f t="shared" si="6"/>
        <v>-7.5523809523809504</v>
      </c>
      <c r="S14" s="2">
        <v>-2578</v>
      </c>
      <c r="T14" s="11">
        <f t="shared" si="0"/>
        <v>0.96265870052277824</v>
      </c>
    </row>
    <row r="15" spans="1:20" x14ac:dyDescent="0.2">
      <c r="A15" s="2">
        <v>12</v>
      </c>
      <c r="B15" s="2" t="s">
        <v>160</v>
      </c>
      <c r="C15" s="2">
        <v>38</v>
      </c>
      <c r="D15" s="2">
        <v>42</v>
      </c>
      <c r="E15" s="3">
        <v>-12</v>
      </c>
      <c r="F15" s="2">
        <v>-110</v>
      </c>
      <c r="G15" s="4">
        <f t="shared" si="1"/>
        <v>-12.571428571428573</v>
      </c>
      <c r="H15" s="4">
        <f>(C15-D15) + E15</f>
        <v>-16</v>
      </c>
      <c r="I15" s="3">
        <v>67.5</v>
      </c>
      <c r="J15" s="4">
        <f>I15/2 - E15/2</f>
        <v>39.75</v>
      </c>
      <c r="K15" s="4">
        <f>C15-J15</f>
        <v>-1.75</v>
      </c>
      <c r="L15" s="4">
        <f>I15/2 + E15/2</f>
        <v>27.75</v>
      </c>
      <c r="M15" s="4">
        <f>D15-L15</f>
        <v>14.25</v>
      </c>
      <c r="N15" s="4">
        <f t="shared" si="2"/>
        <v>-16.571428571428573</v>
      </c>
      <c r="O15" s="4">
        <f t="shared" si="3"/>
        <v>40.035714285714285</v>
      </c>
      <c r="P15" s="4">
        <f t="shared" si="4"/>
        <v>-2.0357142857142847</v>
      </c>
      <c r="Q15" s="4">
        <f t="shared" si="5"/>
        <v>27.464285714285715</v>
      </c>
      <c r="R15" s="4">
        <f t="shared" si="6"/>
        <v>14.535714285714285</v>
      </c>
      <c r="S15" s="2">
        <v>-434</v>
      </c>
      <c r="T15" s="11">
        <f t="shared" si="0"/>
        <v>0.81273408239700373</v>
      </c>
    </row>
    <row r="17" spans="1:20" s="4" customFormat="1" x14ac:dyDescent="0.2">
      <c r="A17" s="5" t="s">
        <v>25</v>
      </c>
      <c r="C17" s="4">
        <f>SUM(C4:C15)</f>
        <v>530</v>
      </c>
      <c r="D17" s="4">
        <f>SUM(D4:D15)</f>
        <v>287</v>
      </c>
      <c r="E17" s="4">
        <f t="shared" ref="E17:F17" si="7">SUM(E4:E15)</f>
        <v>-224</v>
      </c>
      <c r="F17" s="4">
        <f t="shared" si="7"/>
        <v>-1320</v>
      </c>
      <c r="G17" s="4">
        <f>SUM(G4:G15)</f>
        <v>-234.73333333333335</v>
      </c>
      <c r="H17" s="4">
        <f>SUM(H4:H15)</f>
        <v>19</v>
      </c>
      <c r="I17" s="4">
        <f>SUM(I4:I15)</f>
        <v>711</v>
      </c>
      <c r="J17" s="4">
        <f>SUM(J4:J15)</f>
        <v>467.5</v>
      </c>
      <c r="K17" s="4">
        <f>SUM(K4:K15)</f>
        <v>62.5</v>
      </c>
      <c r="L17" s="4">
        <f>SUM(L4:L15)</f>
        <v>243.5</v>
      </c>
      <c r="M17" s="4">
        <f>SUM(M3:M15)</f>
        <v>43.5</v>
      </c>
      <c r="N17" s="4">
        <f>SUM(N3:N15)</f>
        <v>8.2666666666666586</v>
      </c>
      <c r="O17" s="4">
        <f>SUM(O3:O15)</f>
        <v>472.86666666666667</v>
      </c>
      <c r="P17" s="4">
        <f>SUM(P3:P15)</f>
        <v>57.133333333333333</v>
      </c>
      <c r="Q17" s="4">
        <f>SUM(Q3:Q15)</f>
        <v>238.13333333333335</v>
      </c>
      <c r="R17" s="4">
        <f>SUM(R3:R15)</f>
        <v>48.866666666666674</v>
      </c>
    </row>
    <row r="18" spans="1:20" s="7" customFormat="1" x14ac:dyDescent="0.2">
      <c r="A18" s="6" t="s">
        <v>26</v>
      </c>
      <c r="C18" s="7">
        <f>AVERAGE(C4:C15)</f>
        <v>44.166666666666664</v>
      </c>
      <c r="D18" s="7">
        <f>AVERAGE(D4:D15)</f>
        <v>23.916666666666668</v>
      </c>
      <c r="E18" s="7">
        <f>AVERAGE(E4:E15)</f>
        <v>-18.666666666666668</v>
      </c>
      <c r="F18" s="7">
        <f>AVERAGE(F4:F15)</f>
        <v>-110</v>
      </c>
      <c r="G18" s="4">
        <f>AVERAGE(G4:G15)</f>
        <v>-19.561111111111114</v>
      </c>
      <c r="H18" s="7">
        <f>AVERAGE(H4:H15)</f>
        <v>1.5833333333333333</v>
      </c>
      <c r="I18" s="7">
        <f>AVERAGE(I4:I15)</f>
        <v>59.25</v>
      </c>
      <c r="J18" s="7">
        <f>AVERAGE(J4:J15)</f>
        <v>38.958333333333336</v>
      </c>
      <c r="K18" s="7">
        <f>AVERAGE(K4:K15)</f>
        <v>5.208333333333333</v>
      </c>
      <c r="L18" s="7">
        <f>AVERAGE(L4:L15)</f>
        <v>20.291666666666668</v>
      </c>
      <c r="M18" s="7">
        <f>AVERAGE(M4:M15)</f>
        <v>3.625</v>
      </c>
      <c r="N18" s="7">
        <f>AVERAGE(N4:N15)</f>
        <v>0.68888888888888822</v>
      </c>
      <c r="O18" s="7">
        <f>AVERAGE(O4:O15)</f>
        <v>39.405555555555559</v>
      </c>
      <c r="P18" s="7">
        <f>AVERAGE(P4:P15)</f>
        <v>4.7611111111111111</v>
      </c>
      <c r="Q18" s="7">
        <f>AVERAGE(Q4:Q15)</f>
        <v>19.844444444444445</v>
      </c>
      <c r="R18" s="7">
        <f>AVERAGE(R4:R15)</f>
        <v>4.0722222222222229</v>
      </c>
      <c r="S18" s="7">
        <f>AVERAGE(S4:S15)</f>
        <v>-4179.083333333333</v>
      </c>
      <c r="T18" s="8">
        <f>AVERAGE(T4:T16)</f>
        <v>0.85646208919971578</v>
      </c>
    </row>
  </sheetData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92CB-EF4C-3C48-B1C5-7DD1EE4AB6D9}">
  <sheetPr>
    <tabColor theme="3" tint="0.499984740745262"/>
  </sheetPr>
  <dimension ref="A1:T18"/>
  <sheetViews>
    <sheetView zoomScale="50" zoomScaleNormal="100" workbookViewId="0">
      <selection activeCell="Q64" sqref="Q64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3.6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161</v>
      </c>
      <c r="B1" s="1" t="s">
        <v>162</v>
      </c>
      <c r="C1" s="1" t="s">
        <v>153</v>
      </c>
      <c r="D1" s="1" t="s">
        <v>53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163</v>
      </c>
      <c r="C4" s="9">
        <v>76</v>
      </c>
      <c r="D4" s="9">
        <v>0</v>
      </c>
      <c r="E4" s="3">
        <v>-46.5</v>
      </c>
      <c r="F4" s="2">
        <v>-112</v>
      </c>
      <c r="G4" s="4">
        <f>E4*(F4/-105)</f>
        <v>-49.6</v>
      </c>
      <c r="H4" s="4">
        <f>(C4-D4) + E4</f>
        <v>29.5</v>
      </c>
      <c r="I4" s="3">
        <v>60.5</v>
      </c>
      <c r="J4" s="4">
        <f>I4/2 - E4/2</f>
        <v>53.5</v>
      </c>
      <c r="K4" s="4">
        <f>C4-J4</f>
        <v>22.5</v>
      </c>
      <c r="L4" s="4">
        <f>I4/2 + E4/2</f>
        <v>7</v>
      </c>
      <c r="M4" s="4">
        <f>D4-L4</f>
        <v>-7</v>
      </c>
      <c r="N4" s="4">
        <f>(C4-D4) + G4</f>
        <v>26.4</v>
      </c>
      <c r="O4" s="4">
        <f>I4/2 - G4/2</f>
        <v>55.05</v>
      </c>
      <c r="P4" s="4">
        <f>C4-O4</f>
        <v>20.950000000000003</v>
      </c>
      <c r="Q4" s="4">
        <f>I4/2 + G4/2</f>
        <v>5.4499999999999993</v>
      </c>
      <c r="R4" s="4">
        <f>D4-Q4</f>
        <v>-5.4499999999999993</v>
      </c>
      <c r="S4" s="2">
        <v>-20000</v>
      </c>
      <c r="T4" s="11">
        <f t="shared" ref="T4:T15" si="0">IF(S4&gt;0,100/(100+S4),ABS(S4)/(100+ABS(S4)))</f>
        <v>0.99502487562189057</v>
      </c>
    </row>
    <row r="5" spans="1:20" x14ac:dyDescent="0.2">
      <c r="A5" s="2">
        <v>2</v>
      </c>
      <c r="B5" s="2" t="s">
        <v>164</v>
      </c>
      <c r="C5" s="9">
        <v>52</v>
      </c>
      <c r="D5" s="9">
        <v>3</v>
      </c>
      <c r="E5" s="10">
        <v>-42</v>
      </c>
      <c r="F5" s="2">
        <v>-112</v>
      </c>
      <c r="G5" s="4">
        <f t="shared" ref="G5:G15" si="1">E5*(F5/-105)</f>
        <v>-44.8</v>
      </c>
      <c r="H5" s="4">
        <f>(C5-D5) + E5</f>
        <v>7</v>
      </c>
      <c r="I5" s="3">
        <v>62</v>
      </c>
      <c r="J5" s="4">
        <f>I5/2 - E5/2</f>
        <v>52</v>
      </c>
      <c r="K5" s="4">
        <f>C5-J5</f>
        <v>0</v>
      </c>
      <c r="L5" s="4">
        <f>I5/2 + E5/2</f>
        <v>10</v>
      </c>
      <c r="M5" s="4">
        <f>D5-L5</f>
        <v>-7</v>
      </c>
      <c r="N5" s="4">
        <f t="shared" ref="N5:N15" si="2">(C5-D5) + G5</f>
        <v>4.2000000000000028</v>
      </c>
      <c r="O5" s="4">
        <f t="shared" ref="O5:O15" si="3">I5/2 - G5/2</f>
        <v>53.4</v>
      </c>
      <c r="P5" s="4">
        <f t="shared" ref="P5:P15" si="4">C5-O5</f>
        <v>-1.3999999999999986</v>
      </c>
      <c r="Q5" s="4">
        <f t="shared" ref="Q5:Q15" si="5">I5/2 + G5/2</f>
        <v>8.6000000000000014</v>
      </c>
      <c r="R5" s="4">
        <f t="shared" ref="R5:R15" si="6">D5-Q5</f>
        <v>-5.6000000000000014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148</v>
      </c>
      <c r="C6" s="9">
        <v>40</v>
      </c>
      <c r="D6" s="9">
        <v>6</v>
      </c>
      <c r="E6" s="10">
        <v>-21</v>
      </c>
      <c r="F6" s="2">
        <v>-110</v>
      </c>
      <c r="G6" s="4">
        <f t="shared" si="1"/>
        <v>-22</v>
      </c>
      <c r="H6" s="4">
        <f>(C6-D6) + E6</f>
        <v>13</v>
      </c>
      <c r="I6" s="3">
        <v>66</v>
      </c>
      <c r="J6" s="4">
        <f>I6/2 - E6/2</f>
        <v>43.5</v>
      </c>
      <c r="K6" s="4">
        <f>C6-J6</f>
        <v>-3.5</v>
      </c>
      <c r="L6" s="4">
        <f>I6/2 + E6/2</f>
        <v>22.5</v>
      </c>
      <c r="M6" s="4">
        <f>D6-L6</f>
        <v>-16.5</v>
      </c>
      <c r="N6" s="4">
        <f t="shared" si="2"/>
        <v>12</v>
      </c>
      <c r="O6" s="4">
        <f t="shared" si="3"/>
        <v>44</v>
      </c>
      <c r="P6" s="4">
        <f t="shared" si="4"/>
        <v>-4</v>
      </c>
      <c r="Q6" s="4">
        <f t="shared" si="5"/>
        <v>22</v>
      </c>
      <c r="R6" s="4">
        <f t="shared" si="6"/>
        <v>-16</v>
      </c>
      <c r="S6" s="2">
        <v>-1721</v>
      </c>
      <c r="T6" s="11">
        <f t="shared" si="0"/>
        <v>0.94508511806699613</v>
      </c>
    </row>
    <row r="7" spans="1:20" x14ac:dyDescent="0.2">
      <c r="A7" s="2">
        <v>4</v>
      </c>
      <c r="B7" s="2" t="s">
        <v>95</v>
      </c>
      <c r="C7" s="9">
        <v>52</v>
      </c>
      <c r="D7" s="9">
        <v>13</v>
      </c>
      <c r="E7" s="10">
        <v>-35.5</v>
      </c>
      <c r="F7" s="2">
        <v>-111</v>
      </c>
      <c r="G7" s="4">
        <f t="shared" si="1"/>
        <v>-37.528571428571432</v>
      </c>
      <c r="H7" s="4">
        <f>(C7-D7) + E7</f>
        <v>3.5</v>
      </c>
      <c r="I7" s="3">
        <v>68.5</v>
      </c>
      <c r="J7" s="4">
        <f>I7/2 - E7/2</f>
        <v>52</v>
      </c>
      <c r="K7" s="4">
        <f>C7-J7</f>
        <v>0</v>
      </c>
      <c r="L7" s="4">
        <f>I7/2 + E7/2</f>
        <v>16.5</v>
      </c>
      <c r="M7" s="4">
        <f>D7-L7</f>
        <v>-3.5</v>
      </c>
      <c r="N7" s="4">
        <f t="shared" si="2"/>
        <v>1.471428571428568</v>
      </c>
      <c r="O7" s="4">
        <f t="shared" si="3"/>
        <v>53.01428571428572</v>
      </c>
      <c r="P7" s="4">
        <f t="shared" si="4"/>
        <v>-1.0142857142857196</v>
      </c>
      <c r="Q7" s="4">
        <f t="shared" si="5"/>
        <v>15.485714285714284</v>
      </c>
      <c r="R7" s="4">
        <f t="shared" si="6"/>
        <v>-2.485714285714284</v>
      </c>
      <c r="S7" s="2">
        <v>-20000</v>
      </c>
      <c r="T7" s="11">
        <f t="shared" si="0"/>
        <v>0.99502487562189057</v>
      </c>
    </row>
    <row r="8" spans="1:20" x14ac:dyDescent="0.2">
      <c r="A8" s="2">
        <v>5</v>
      </c>
      <c r="B8" s="2" t="s">
        <v>42</v>
      </c>
      <c r="C8" s="2">
        <v>17</v>
      </c>
      <c r="D8" s="2">
        <v>20</v>
      </c>
      <c r="E8" s="3">
        <v>-15.5</v>
      </c>
      <c r="F8" s="2">
        <v>-110</v>
      </c>
      <c r="G8" s="4">
        <f t="shared" si="1"/>
        <v>-16.238095238095237</v>
      </c>
      <c r="H8" s="4">
        <f>(C8-D8) + E8</f>
        <v>-18.5</v>
      </c>
      <c r="I8" s="3">
        <v>51.5</v>
      </c>
      <c r="J8" s="4">
        <f>I8/2 - E8/2</f>
        <v>33.5</v>
      </c>
      <c r="K8" s="4">
        <f>C8-J8</f>
        <v>-16.5</v>
      </c>
      <c r="L8" s="4">
        <f>I8/2 + E8/2</f>
        <v>18</v>
      </c>
      <c r="M8" s="4">
        <f>D8-L8</f>
        <v>2</v>
      </c>
      <c r="N8" s="4">
        <f t="shared" si="2"/>
        <v>-19.238095238095237</v>
      </c>
      <c r="O8" s="4">
        <f t="shared" si="3"/>
        <v>33.86904761904762</v>
      </c>
      <c r="P8" s="4">
        <f t="shared" si="4"/>
        <v>-16.86904761904762</v>
      </c>
      <c r="Q8" s="4">
        <f t="shared" si="5"/>
        <v>17.63095238095238</v>
      </c>
      <c r="R8" s="4">
        <f t="shared" si="6"/>
        <v>2.3690476190476204</v>
      </c>
      <c r="S8" s="2">
        <v>-750</v>
      </c>
      <c r="T8" s="11">
        <f t="shared" si="0"/>
        <v>0.88235294117647056</v>
      </c>
    </row>
    <row r="9" spans="1:20" x14ac:dyDescent="0.2">
      <c r="A9" s="2">
        <v>6</v>
      </c>
      <c r="B9" s="2" t="s">
        <v>131</v>
      </c>
      <c r="C9" s="9">
        <v>27</v>
      </c>
      <c r="D9" s="9">
        <v>3</v>
      </c>
      <c r="E9" s="10">
        <v>-10</v>
      </c>
      <c r="F9" s="2">
        <v>-109</v>
      </c>
      <c r="G9" s="4">
        <f t="shared" si="1"/>
        <v>-10.380952380952381</v>
      </c>
      <c r="H9" s="4">
        <f>(C9-D9) + E9</f>
        <v>14</v>
      </c>
      <c r="I9" s="3">
        <v>53</v>
      </c>
      <c r="J9" s="4">
        <f>I9/2 - E9/2</f>
        <v>31.5</v>
      </c>
      <c r="K9" s="4">
        <f>C9-J9</f>
        <v>-4.5</v>
      </c>
      <c r="L9" s="4">
        <f>I9/2 + E9/2</f>
        <v>21.5</v>
      </c>
      <c r="M9" s="4">
        <f>D9-L9</f>
        <v>-18.5</v>
      </c>
      <c r="N9" s="4">
        <f t="shared" si="2"/>
        <v>13.619047619047619</v>
      </c>
      <c r="O9" s="4">
        <f t="shared" si="3"/>
        <v>31.69047619047619</v>
      </c>
      <c r="P9" s="4">
        <f t="shared" si="4"/>
        <v>-4.6904761904761898</v>
      </c>
      <c r="Q9" s="4">
        <f t="shared" si="5"/>
        <v>21.30952380952381</v>
      </c>
      <c r="R9" s="4">
        <f t="shared" si="6"/>
        <v>-18.30952380952381</v>
      </c>
      <c r="S9" s="2">
        <v>-365</v>
      </c>
      <c r="T9" s="11">
        <f t="shared" si="0"/>
        <v>0.78494623655913975</v>
      </c>
    </row>
    <row r="10" spans="1:20" x14ac:dyDescent="0.2">
      <c r="A10" s="2">
        <v>7</v>
      </c>
      <c r="B10" s="2" t="s">
        <v>133</v>
      </c>
      <c r="C10" s="2">
        <v>26</v>
      </c>
      <c r="D10" s="2">
        <v>29</v>
      </c>
      <c r="E10" s="3">
        <v>-4</v>
      </c>
      <c r="F10" s="2">
        <v>-109</v>
      </c>
      <c r="G10" s="4">
        <f t="shared" si="1"/>
        <v>-4.1523809523809527</v>
      </c>
      <c r="H10" s="4">
        <f>(C10-D10) + E10</f>
        <v>-7</v>
      </c>
      <c r="I10" s="3">
        <v>64</v>
      </c>
      <c r="J10" s="4">
        <f>I10/2 - E10/2</f>
        <v>34</v>
      </c>
      <c r="K10" s="4">
        <f>C10-J10</f>
        <v>-8</v>
      </c>
      <c r="L10" s="4">
        <f>I10/2 + E10/2</f>
        <v>30</v>
      </c>
      <c r="M10" s="4">
        <f>D10-L10</f>
        <v>-1</v>
      </c>
      <c r="N10" s="4">
        <f t="shared" si="2"/>
        <v>-7.1523809523809527</v>
      </c>
      <c r="O10" s="4">
        <f t="shared" si="3"/>
        <v>34.076190476190476</v>
      </c>
      <c r="P10" s="4">
        <f t="shared" si="4"/>
        <v>-8.0761904761904759</v>
      </c>
      <c r="Q10" s="4">
        <f t="shared" si="5"/>
        <v>29.923809523809524</v>
      </c>
      <c r="R10" s="4">
        <f t="shared" si="6"/>
        <v>-0.92380952380952408</v>
      </c>
      <c r="S10" s="2">
        <v>-183</v>
      </c>
      <c r="T10" s="11">
        <f t="shared" si="0"/>
        <v>0.64664310954063609</v>
      </c>
    </row>
    <row r="11" spans="1:20" x14ac:dyDescent="0.2">
      <c r="A11" s="2">
        <v>8</v>
      </c>
      <c r="B11" s="2" t="s">
        <v>71</v>
      </c>
      <c r="C11" s="9">
        <v>26</v>
      </c>
      <c r="D11" s="9">
        <v>14</v>
      </c>
      <c r="E11" s="3">
        <v>-19</v>
      </c>
      <c r="F11" s="2">
        <v>-109</v>
      </c>
      <c r="G11" s="4">
        <f t="shared" si="1"/>
        <v>-19.723809523809525</v>
      </c>
      <c r="H11" s="4">
        <f>(C11-D11) + E11</f>
        <v>-7</v>
      </c>
      <c r="I11" s="3">
        <v>49.5</v>
      </c>
      <c r="J11" s="4">
        <f>I11/2 - E11/2</f>
        <v>34.25</v>
      </c>
      <c r="K11" s="4">
        <f>C11-J11</f>
        <v>-8.25</v>
      </c>
      <c r="L11" s="4">
        <f>I11/2 + E11/2</f>
        <v>15.25</v>
      </c>
      <c r="M11" s="4">
        <f>D11-L11</f>
        <v>-1.25</v>
      </c>
      <c r="N11" s="4">
        <f t="shared" si="2"/>
        <v>-7.7238095238095248</v>
      </c>
      <c r="O11" s="4">
        <f t="shared" si="3"/>
        <v>34.611904761904761</v>
      </c>
      <c r="P11" s="4">
        <f t="shared" si="4"/>
        <v>-8.6119047619047606</v>
      </c>
      <c r="Q11" s="4">
        <f t="shared" si="5"/>
        <v>14.888095238095238</v>
      </c>
      <c r="R11" s="4">
        <f t="shared" si="6"/>
        <v>-0.8880952380952376</v>
      </c>
      <c r="S11" s="2">
        <v>-1341</v>
      </c>
      <c r="T11" s="11">
        <f t="shared" si="0"/>
        <v>0.93060374739764051</v>
      </c>
    </row>
    <row r="12" spans="1:20" x14ac:dyDescent="0.2">
      <c r="A12" s="2">
        <v>9</v>
      </c>
      <c r="B12" s="2" t="s">
        <v>74</v>
      </c>
      <c r="C12" s="9">
        <v>63</v>
      </c>
      <c r="D12" s="9">
        <v>31</v>
      </c>
      <c r="E12" s="10">
        <v>-7.5</v>
      </c>
      <c r="F12" s="2">
        <v>-111</v>
      </c>
      <c r="G12" s="4">
        <f t="shared" si="1"/>
        <v>-7.9285714285714288</v>
      </c>
      <c r="H12" s="4">
        <f>(C12-D12) + E12</f>
        <v>24.5</v>
      </c>
      <c r="I12" s="3">
        <v>54</v>
      </c>
      <c r="J12" s="4">
        <f>I12/2 - E12/2</f>
        <v>30.75</v>
      </c>
      <c r="K12" s="4">
        <f>C12-J12</f>
        <v>32.25</v>
      </c>
      <c r="L12" s="4">
        <f>I12/2 + E12/2</f>
        <v>23.25</v>
      </c>
      <c r="M12" s="4">
        <f>D12-L12</f>
        <v>7.75</v>
      </c>
      <c r="N12" s="4">
        <f t="shared" si="2"/>
        <v>24.071428571428569</v>
      </c>
      <c r="O12" s="4">
        <f t="shared" si="3"/>
        <v>30.964285714285715</v>
      </c>
      <c r="P12" s="4">
        <f t="shared" si="4"/>
        <v>32.035714285714285</v>
      </c>
      <c r="Q12" s="4">
        <f t="shared" si="5"/>
        <v>23.035714285714285</v>
      </c>
      <c r="R12" s="4">
        <f t="shared" si="6"/>
        <v>7.9642857142857153</v>
      </c>
      <c r="S12" s="2">
        <v>-297</v>
      </c>
      <c r="T12" s="11">
        <f t="shared" si="0"/>
        <v>0.74811083123425692</v>
      </c>
    </row>
    <row r="13" spans="1:20" x14ac:dyDescent="0.2">
      <c r="A13" s="2">
        <v>10</v>
      </c>
      <c r="B13" s="2" t="s">
        <v>72</v>
      </c>
      <c r="C13" s="9">
        <v>28</v>
      </c>
      <c r="D13" s="9">
        <v>10</v>
      </c>
      <c r="E13" s="10">
        <v>1.5</v>
      </c>
      <c r="F13" s="2">
        <v>-109</v>
      </c>
      <c r="G13" s="4">
        <f t="shared" si="1"/>
        <v>1.5571428571428574</v>
      </c>
      <c r="H13" s="4">
        <f>(C13-D13) + E13</f>
        <v>19.5</v>
      </c>
      <c r="I13" s="3">
        <v>55.5</v>
      </c>
      <c r="J13" s="4">
        <f>I13/2 - E13/2</f>
        <v>27</v>
      </c>
      <c r="K13" s="4">
        <f>C13-J13</f>
        <v>1</v>
      </c>
      <c r="L13" s="4">
        <f>I13/2 + E13/2</f>
        <v>28.5</v>
      </c>
      <c r="M13" s="4">
        <f>D13-L13</f>
        <v>-18.5</v>
      </c>
      <c r="N13" s="4">
        <f t="shared" si="2"/>
        <v>19.557142857142857</v>
      </c>
      <c r="O13" s="4">
        <f t="shared" si="3"/>
        <v>26.971428571428572</v>
      </c>
      <c r="P13" s="4">
        <f t="shared" si="4"/>
        <v>1.0285714285714285</v>
      </c>
      <c r="Q13" s="4">
        <f t="shared" si="5"/>
        <v>28.528571428571428</v>
      </c>
      <c r="R13" s="4">
        <f t="shared" si="6"/>
        <v>-18.528571428571428</v>
      </c>
      <c r="S13" s="2">
        <v>109</v>
      </c>
      <c r="T13" s="11">
        <f t="shared" si="0"/>
        <v>0.4784688995215311</v>
      </c>
    </row>
    <row r="14" spans="1:20" x14ac:dyDescent="0.2">
      <c r="A14" s="2">
        <v>11</v>
      </c>
      <c r="B14" s="2" t="s">
        <v>47</v>
      </c>
      <c r="C14" s="2">
        <v>17</v>
      </c>
      <c r="D14" s="2">
        <v>24</v>
      </c>
      <c r="E14" s="3">
        <v>-13</v>
      </c>
      <c r="F14" s="2">
        <v>-109</v>
      </c>
      <c r="G14" s="4">
        <f t="shared" si="1"/>
        <v>-13.495238095238097</v>
      </c>
      <c r="H14" s="4">
        <f>(C14-D14) + E14</f>
        <v>-20</v>
      </c>
      <c r="I14" s="3">
        <v>56.5</v>
      </c>
      <c r="J14" s="4">
        <f>I14/2 - E14/2</f>
        <v>34.75</v>
      </c>
      <c r="K14" s="4">
        <f>C14-J14</f>
        <v>-17.75</v>
      </c>
      <c r="L14" s="4">
        <f>I14/2 + E14/2</f>
        <v>21.75</v>
      </c>
      <c r="M14" s="4">
        <f>D14-L14</f>
        <v>2.25</v>
      </c>
      <c r="N14" s="4">
        <f t="shared" si="2"/>
        <v>-20.495238095238097</v>
      </c>
      <c r="O14" s="4">
        <f t="shared" si="3"/>
        <v>34.997619047619047</v>
      </c>
      <c r="P14" s="4">
        <f t="shared" si="4"/>
        <v>-17.997619047619047</v>
      </c>
      <c r="Q14" s="4">
        <f t="shared" si="5"/>
        <v>21.502380952380953</v>
      </c>
      <c r="R14" s="4">
        <f t="shared" si="6"/>
        <v>2.4976190476190467</v>
      </c>
      <c r="S14" s="2">
        <v>-541</v>
      </c>
      <c r="T14" s="11">
        <f t="shared" si="0"/>
        <v>0.84399375975039004</v>
      </c>
    </row>
    <row r="15" spans="1:20" x14ac:dyDescent="0.2">
      <c r="A15" s="2">
        <v>12</v>
      </c>
      <c r="B15" s="2" t="s">
        <v>45</v>
      </c>
      <c r="C15" s="9">
        <v>26</v>
      </c>
      <c r="D15" s="9">
        <v>14</v>
      </c>
      <c r="E15" s="3">
        <v>-26</v>
      </c>
      <c r="F15" s="2">
        <v>-112</v>
      </c>
      <c r="G15" s="4">
        <f t="shared" si="1"/>
        <v>-27.733333333333334</v>
      </c>
      <c r="H15" s="4">
        <f>(C15-D15) + E15</f>
        <v>-14</v>
      </c>
      <c r="I15" s="3">
        <v>63</v>
      </c>
      <c r="J15" s="4">
        <f>I15/2 - E15/2</f>
        <v>44.5</v>
      </c>
      <c r="K15" s="4">
        <f>C15-J15</f>
        <v>-18.5</v>
      </c>
      <c r="L15" s="4">
        <f>I15/2 + E15/2</f>
        <v>18.5</v>
      </c>
      <c r="M15" s="4">
        <f>D15-L15</f>
        <v>-4.5</v>
      </c>
      <c r="N15" s="4">
        <f t="shared" si="2"/>
        <v>-15.733333333333334</v>
      </c>
      <c r="O15" s="4">
        <f t="shared" si="3"/>
        <v>45.366666666666667</v>
      </c>
      <c r="P15" s="4">
        <f t="shared" si="4"/>
        <v>-19.366666666666667</v>
      </c>
      <c r="Q15" s="4">
        <f t="shared" si="5"/>
        <v>17.633333333333333</v>
      </c>
      <c r="R15" s="4">
        <f t="shared" si="6"/>
        <v>-3.6333333333333329</v>
      </c>
      <c r="S15" s="2">
        <v>-3576</v>
      </c>
      <c r="T15" s="11">
        <f t="shared" si="0"/>
        <v>0.97279651795429811</v>
      </c>
    </row>
    <row r="17" spans="1:20" s="4" customFormat="1" x14ac:dyDescent="0.2">
      <c r="A17" s="5" t="s">
        <v>25</v>
      </c>
      <c r="C17" s="4">
        <f>SUM(C4:C15)</f>
        <v>450</v>
      </c>
      <c r="D17" s="4">
        <f>SUM(D4:D15)</f>
        <v>167</v>
      </c>
      <c r="E17" s="4">
        <f t="shared" ref="E17:F17" si="7">SUM(E4:E15)</f>
        <v>-238.5</v>
      </c>
      <c r="F17" s="4">
        <f t="shared" si="7"/>
        <v>-1323</v>
      </c>
      <c r="G17" s="4">
        <f>SUM(G4:G15)</f>
        <v>-252.02380952380958</v>
      </c>
      <c r="H17" s="4">
        <f>SUM(H4:H15)</f>
        <v>44.5</v>
      </c>
      <c r="I17" s="4">
        <f>SUM(I4:I15)</f>
        <v>704</v>
      </c>
      <c r="J17" s="4">
        <f>SUM(J4:J15)</f>
        <v>471.25</v>
      </c>
      <c r="K17" s="4">
        <f>SUM(K4:K15)</f>
        <v>-21.25</v>
      </c>
      <c r="L17" s="4">
        <f>SUM(L4:L15)</f>
        <v>232.75</v>
      </c>
      <c r="M17" s="4">
        <f>SUM(M3:M15)</f>
        <v>-65.75</v>
      </c>
      <c r="N17" s="4">
        <f>SUM(N3:N15)</f>
        <v>30.976190476190482</v>
      </c>
      <c r="O17" s="4">
        <f>SUM(O3:O15)</f>
        <v>478.01190476190482</v>
      </c>
      <c r="P17" s="4">
        <f>SUM(P3:P15)</f>
        <v>-28.011904761904763</v>
      </c>
      <c r="Q17" s="4">
        <f>SUM(Q3:Q15)</f>
        <v>225.98809523809521</v>
      </c>
      <c r="R17" s="4">
        <f>SUM(R3:R15)</f>
        <v>-58.988095238095241</v>
      </c>
    </row>
    <row r="18" spans="1:20" s="7" customFormat="1" x14ac:dyDescent="0.2">
      <c r="A18" s="6" t="s">
        <v>26</v>
      </c>
      <c r="C18" s="7">
        <f>AVERAGE(C4:C15)</f>
        <v>37.5</v>
      </c>
      <c r="D18" s="7">
        <f>AVERAGE(D4:D15)</f>
        <v>13.916666666666666</v>
      </c>
      <c r="E18" s="7">
        <f>AVERAGE(E4:E15)</f>
        <v>-19.875</v>
      </c>
      <c r="F18" s="7">
        <f>AVERAGE(F4:F15)</f>
        <v>-110.25</v>
      </c>
      <c r="G18" s="4">
        <f>AVERAGE(G4:G15)</f>
        <v>-21.00198412698413</v>
      </c>
      <c r="H18" s="7">
        <f>AVERAGE(H4:H15)</f>
        <v>3.7083333333333335</v>
      </c>
      <c r="I18" s="7">
        <f>AVERAGE(I4:I15)</f>
        <v>58.666666666666664</v>
      </c>
      <c r="J18" s="7">
        <f>AVERAGE(J4:J15)</f>
        <v>39.270833333333336</v>
      </c>
      <c r="K18" s="7">
        <f>AVERAGE(K4:K15)</f>
        <v>-1.7708333333333333</v>
      </c>
      <c r="L18" s="7">
        <f>AVERAGE(L4:L15)</f>
        <v>19.395833333333332</v>
      </c>
      <c r="M18" s="7">
        <f>AVERAGE(M4:M15)</f>
        <v>-5.479166666666667</v>
      </c>
      <c r="N18" s="7">
        <f>AVERAGE(N4:N15)</f>
        <v>2.5813492063492069</v>
      </c>
      <c r="O18" s="7">
        <f>AVERAGE(O4:O15)</f>
        <v>39.834325396825399</v>
      </c>
      <c r="P18" s="7">
        <f>AVERAGE(P4:P15)</f>
        <v>-2.3343253968253967</v>
      </c>
      <c r="Q18" s="7">
        <f>AVERAGE(Q4:Q15)</f>
        <v>18.832341269841269</v>
      </c>
      <c r="R18" s="7">
        <f>AVERAGE(R4:R15)</f>
        <v>-4.9156746031746037</v>
      </c>
      <c r="S18" s="7">
        <f>AVERAGE(S4:S15)</f>
        <v>-5722.083333333333</v>
      </c>
      <c r="T18" s="8">
        <f>AVERAGE(T4:T16)</f>
        <v>0.85150631567225255</v>
      </c>
    </row>
  </sheetData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36A2-8B5F-E047-9372-3B31011C6224}">
  <sheetPr>
    <tabColor rgb="FF0070C0"/>
  </sheetPr>
  <dimension ref="A1:T18"/>
  <sheetViews>
    <sheetView zoomScale="57" zoomScaleNormal="100" workbookViewId="0">
      <selection activeCell="O24" sqref="O24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6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165</v>
      </c>
      <c r="B1" s="1" t="s">
        <v>166</v>
      </c>
      <c r="C1" s="1" t="s">
        <v>153</v>
      </c>
      <c r="D1" s="1" t="s">
        <v>113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167</v>
      </c>
      <c r="C4" s="9">
        <v>41</v>
      </c>
      <c r="D4" s="9">
        <v>13</v>
      </c>
      <c r="E4" s="10">
        <v>-17</v>
      </c>
      <c r="F4" s="2">
        <v>-112</v>
      </c>
      <c r="G4" s="4">
        <f>E4*(F4/-105)</f>
        <v>-18.133333333333333</v>
      </c>
      <c r="H4" s="4">
        <f>(C4-D4) + E4</f>
        <v>11</v>
      </c>
      <c r="I4" s="3">
        <v>49.5</v>
      </c>
      <c r="J4" s="4">
        <f>I4/2 - E4/2</f>
        <v>33.25</v>
      </c>
      <c r="K4" s="4">
        <f>C4-J4</f>
        <v>7.75</v>
      </c>
      <c r="L4" s="4">
        <f>I4/2 + E4/2</f>
        <v>16.25</v>
      </c>
      <c r="M4" s="4">
        <f>D4-L4</f>
        <v>-3.25</v>
      </c>
      <c r="N4" s="4">
        <f>(C4-D4) + G4</f>
        <v>9.8666666666666671</v>
      </c>
      <c r="O4" s="4">
        <f>I4/2 - G4/2</f>
        <v>33.816666666666663</v>
      </c>
      <c r="P4" s="4">
        <f>C4-O4</f>
        <v>7.1833333333333371</v>
      </c>
      <c r="Q4" s="4">
        <f>I4/2 + G4/2</f>
        <v>15.683333333333334</v>
      </c>
      <c r="R4" s="4">
        <f>D4-Q4</f>
        <v>-2.6833333333333336</v>
      </c>
      <c r="S4" s="2">
        <v>-950</v>
      </c>
      <c r="T4" s="11">
        <f t="shared" ref="T4:T15" si="0">IF(S4&gt;0,100/(100+S4),ABS(S4)/(100+ABS(S4)))</f>
        <v>0.90476190476190477</v>
      </c>
    </row>
    <row r="5" spans="1:20" x14ac:dyDescent="0.2">
      <c r="A5" s="2">
        <v>2</v>
      </c>
      <c r="B5" s="2" t="s">
        <v>150</v>
      </c>
      <c r="C5" s="9">
        <v>18</v>
      </c>
      <c r="D5" s="9">
        <v>15</v>
      </c>
      <c r="E5" s="10">
        <v>12.5</v>
      </c>
      <c r="F5" s="2">
        <v>-111</v>
      </c>
      <c r="G5" s="4">
        <f t="shared" ref="G5:G15" si="1">E5*(F5/-105)</f>
        <v>13.214285714285715</v>
      </c>
      <c r="H5" s="4">
        <f>(C5-D5) + E5</f>
        <v>15.5</v>
      </c>
      <c r="I5" s="3">
        <v>56</v>
      </c>
      <c r="J5" s="4">
        <f>I5/2 - E5/2</f>
        <v>21.75</v>
      </c>
      <c r="K5" s="4">
        <f>C5-J5</f>
        <v>-3.75</v>
      </c>
      <c r="L5" s="4">
        <f>I5/2 + E5/2</f>
        <v>34.25</v>
      </c>
      <c r="M5" s="4">
        <f>D5-L5</f>
        <v>-19.25</v>
      </c>
      <c r="N5" s="4">
        <f t="shared" ref="N5:N15" si="2">(C5-D5) + G5</f>
        <v>16.214285714285715</v>
      </c>
      <c r="O5" s="4">
        <f t="shared" ref="O5:O15" si="3">I5/2 - G5/2</f>
        <v>21.392857142857142</v>
      </c>
      <c r="P5" s="4">
        <f t="shared" ref="P5:P15" si="4">C5-O5</f>
        <v>-3.3928571428571423</v>
      </c>
      <c r="Q5" s="4">
        <f t="shared" ref="Q5:Q15" si="5">I5/2 + G5/2</f>
        <v>34.607142857142861</v>
      </c>
      <c r="R5" s="4">
        <f t="shared" ref="R5:R15" si="6">D5-Q5</f>
        <v>-19.607142857142861</v>
      </c>
      <c r="S5" s="2">
        <v>377</v>
      </c>
      <c r="T5" s="11">
        <f t="shared" si="0"/>
        <v>0.20964360587002095</v>
      </c>
    </row>
    <row r="6" spans="1:20" x14ac:dyDescent="0.2">
      <c r="A6" s="2">
        <v>3</v>
      </c>
      <c r="B6" s="2" t="s">
        <v>104</v>
      </c>
      <c r="C6" s="9">
        <v>34</v>
      </c>
      <c r="D6" s="9">
        <v>14</v>
      </c>
      <c r="E6" s="10">
        <v>-9.5</v>
      </c>
      <c r="F6" s="2">
        <v>-114</v>
      </c>
      <c r="G6" s="4">
        <f t="shared" si="1"/>
        <v>-10.314285714285713</v>
      </c>
      <c r="H6" s="4">
        <f>(C6-D6) + E6</f>
        <v>10.5</v>
      </c>
      <c r="I6" s="3">
        <v>40</v>
      </c>
      <c r="J6" s="4">
        <f>I6/2 - E6/2</f>
        <v>24.75</v>
      </c>
      <c r="K6" s="4">
        <f>C6-J6</f>
        <v>9.25</v>
      </c>
      <c r="L6" s="4">
        <f>I6/2 + E6/2</f>
        <v>15.25</v>
      </c>
      <c r="M6" s="4">
        <f>D6-L6</f>
        <v>-1.25</v>
      </c>
      <c r="N6" s="4">
        <f t="shared" si="2"/>
        <v>9.6857142857142868</v>
      </c>
      <c r="O6" s="4">
        <f t="shared" si="3"/>
        <v>25.157142857142858</v>
      </c>
      <c r="P6" s="4">
        <f t="shared" si="4"/>
        <v>8.8428571428571416</v>
      </c>
      <c r="Q6" s="4">
        <f t="shared" si="5"/>
        <v>14.842857142857143</v>
      </c>
      <c r="R6" s="4">
        <f t="shared" si="6"/>
        <v>-0.84285714285714342</v>
      </c>
      <c r="S6" s="2">
        <v>-371</v>
      </c>
      <c r="T6" s="11">
        <f t="shared" si="0"/>
        <v>0.78768577494692149</v>
      </c>
    </row>
    <row r="7" spans="1:20" x14ac:dyDescent="0.2">
      <c r="A7" s="2">
        <v>4</v>
      </c>
      <c r="B7" s="2" t="s">
        <v>121</v>
      </c>
      <c r="C7" s="9">
        <v>38</v>
      </c>
      <c r="D7" s="9">
        <v>9</v>
      </c>
      <c r="E7" s="10">
        <v>7.5</v>
      </c>
      <c r="F7" s="2">
        <v>-114</v>
      </c>
      <c r="G7" s="4">
        <f t="shared" si="1"/>
        <v>8.1428571428571423</v>
      </c>
      <c r="H7" s="4">
        <f>(C7-D7) + E7</f>
        <v>36.5</v>
      </c>
      <c r="I7" s="3">
        <v>49.5</v>
      </c>
      <c r="J7" s="4">
        <f>I7/2 - E7/2</f>
        <v>21</v>
      </c>
      <c r="K7" s="4">
        <f>C7-J7</f>
        <v>17</v>
      </c>
      <c r="L7" s="4">
        <f>I7/2 + E7/2</f>
        <v>28.5</v>
      </c>
      <c r="M7" s="4">
        <f>D7-L7</f>
        <v>-19.5</v>
      </c>
      <c r="N7" s="4">
        <f t="shared" si="2"/>
        <v>37.142857142857139</v>
      </c>
      <c r="O7" s="4">
        <f t="shared" si="3"/>
        <v>20.678571428571431</v>
      </c>
      <c r="P7" s="4">
        <f t="shared" si="4"/>
        <v>17.321428571428569</v>
      </c>
      <c r="Q7" s="4">
        <f t="shared" si="5"/>
        <v>28.821428571428569</v>
      </c>
      <c r="R7" s="4">
        <f t="shared" si="6"/>
        <v>-19.821428571428569</v>
      </c>
      <c r="S7" s="2">
        <v>234</v>
      </c>
      <c r="T7" s="11">
        <f t="shared" si="0"/>
        <v>0.29940119760479039</v>
      </c>
    </row>
    <row r="8" spans="1:20" x14ac:dyDescent="0.2">
      <c r="A8" s="2">
        <v>5</v>
      </c>
      <c r="B8" s="2" t="s">
        <v>168</v>
      </c>
      <c r="C8" s="9">
        <v>34</v>
      </c>
      <c r="D8" s="9">
        <v>28</v>
      </c>
      <c r="E8" s="10">
        <v>3</v>
      </c>
      <c r="F8" s="2">
        <v>-107</v>
      </c>
      <c r="G8" s="4">
        <f t="shared" si="1"/>
        <v>3.0571428571428569</v>
      </c>
      <c r="H8" s="4">
        <f>(C8-D8) + E8</f>
        <v>9</v>
      </c>
      <c r="I8" s="3">
        <v>46.5</v>
      </c>
      <c r="J8" s="4">
        <f>I8/2 - E8/2</f>
        <v>21.75</v>
      </c>
      <c r="K8" s="4">
        <f>C8-J8</f>
        <v>12.25</v>
      </c>
      <c r="L8" s="4">
        <f>I8/2 + E8/2</f>
        <v>24.75</v>
      </c>
      <c r="M8" s="4">
        <f>D8-L8</f>
        <v>3.25</v>
      </c>
      <c r="N8" s="4">
        <f t="shared" si="2"/>
        <v>9.0571428571428569</v>
      </c>
      <c r="O8" s="4">
        <f t="shared" si="3"/>
        <v>21.721428571428572</v>
      </c>
      <c r="P8" s="4">
        <f t="shared" si="4"/>
        <v>12.278571428571428</v>
      </c>
      <c r="Q8" s="4">
        <f t="shared" si="5"/>
        <v>24.778571428571428</v>
      </c>
      <c r="R8" s="4">
        <f t="shared" si="6"/>
        <v>3.2214285714285715</v>
      </c>
      <c r="S8" s="2">
        <v>134</v>
      </c>
      <c r="T8" s="11">
        <f t="shared" si="0"/>
        <v>0.42735042735042733</v>
      </c>
    </row>
    <row r="9" spans="1:20" x14ac:dyDescent="0.2">
      <c r="A9" s="2">
        <v>6</v>
      </c>
      <c r="B9" s="2" t="s">
        <v>123</v>
      </c>
      <c r="C9" s="9">
        <v>41</v>
      </c>
      <c r="D9" s="9">
        <v>19</v>
      </c>
      <c r="E9" s="10">
        <v>-3</v>
      </c>
      <c r="F9" s="2">
        <v>-107</v>
      </c>
      <c r="G9" s="4">
        <f t="shared" si="1"/>
        <v>-3.0571428571428569</v>
      </c>
      <c r="H9" s="4">
        <f>(C9-D9) + E9</f>
        <v>19</v>
      </c>
      <c r="I9" s="3">
        <v>48.5</v>
      </c>
      <c r="J9" s="4">
        <f>I9/2 - E9/2</f>
        <v>25.75</v>
      </c>
      <c r="K9" s="4">
        <f>C9-J9</f>
        <v>15.25</v>
      </c>
      <c r="L9" s="4">
        <f>I9/2 + E9/2</f>
        <v>22.75</v>
      </c>
      <c r="M9" s="4">
        <f>D9-L9</f>
        <v>-3.75</v>
      </c>
      <c r="N9" s="4">
        <f t="shared" si="2"/>
        <v>18.942857142857143</v>
      </c>
      <c r="O9" s="4">
        <f t="shared" si="3"/>
        <v>25.778571428571428</v>
      </c>
      <c r="P9" s="4">
        <f t="shared" si="4"/>
        <v>15.221428571428572</v>
      </c>
      <c r="Q9" s="4">
        <f t="shared" si="5"/>
        <v>22.721428571428572</v>
      </c>
      <c r="R9" s="4">
        <f t="shared" si="6"/>
        <v>-3.7214285714285715</v>
      </c>
      <c r="S9" s="2">
        <v>-142</v>
      </c>
      <c r="T9" s="11">
        <f t="shared" si="0"/>
        <v>0.58677685950413228</v>
      </c>
    </row>
    <row r="10" spans="1:20" x14ac:dyDescent="0.2">
      <c r="A10" s="2">
        <v>7</v>
      </c>
      <c r="B10" s="2" t="s">
        <v>119</v>
      </c>
      <c r="C10" s="9">
        <v>38</v>
      </c>
      <c r="D10" s="9">
        <v>35</v>
      </c>
      <c r="E10" s="3">
        <v>-8.5</v>
      </c>
      <c r="F10" s="2">
        <v>-111</v>
      </c>
      <c r="G10" s="4">
        <f t="shared" si="1"/>
        <v>-8.9857142857142858</v>
      </c>
      <c r="H10" s="4">
        <f>(C10-D10) + E10</f>
        <v>-5.5</v>
      </c>
      <c r="I10" s="3">
        <v>53</v>
      </c>
      <c r="J10" s="4">
        <f>I10/2 - E10/2</f>
        <v>30.75</v>
      </c>
      <c r="K10" s="4">
        <f>C10-J10</f>
        <v>7.25</v>
      </c>
      <c r="L10" s="4">
        <f>I10/2 + E10/2</f>
        <v>22.25</v>
      </c>
      <c r="M10" s="4">
        <f>D10-L10</f>
        <v>12.75</v>
      </c>
      <c r="N10" s="4">
        <f t="shared" si="2"/>
        <v>-5.9857142857142858</v>
      </c>
      <c r="O10" s="4">
        <f t="shared" si="3"/>
        <v>30.992857142857144</v>
      </c>
      <c r="P10" s="4">
        <f t="shared" si="4"/>
        <v>7.0071428571428562</v>
      </c>
      <c r="Q10" s="4">
        <f t="shared" si="5"/>
        <v>22.007142857142856</v>
      </c>
      <c r="R10" s="4">
        <f t="shared" si="6"/>
        <v>12.992857142857144</v>
      </c>
      <c r="S10" s="2">
        <v>-345</v>
      </c>
      <c r="T10" s="11">
        <f t="shared" si="0"/>
        <v>0.7752808988764045</v>
      </c>
    </row>
    <row r="11" spans="1:20" x14ac:dyDescent="0.2">
      <c r="A11" s="2">
        <v>8</v>
      </c>
      <c r="B11" s="2" t="s">
        <v>120</v>
      </c>
      <c r="C11" s="9">
        <v>37</v>
      </c>
      <c r="D11" s="9">
        <v>24</v>
      </c>
      <c r="E11" s="10">
        <v>2.5</v>
      </c>
      <c r="F11" s="2">
        <v>-106</v>
      </c>
      <c r="G11" s="4">
        <f t="shared" si="1"/>
        <v>2.5238095238095237</v>
      </c>
      <c r="H11" s="4">
        <f>(C11-D11) + E11</f>
        <v>15.5</v>
      </c>
      <c r="I11" s="3">
        <v>53.5</v>
      </c>
      <c r="J11" s="4">
        <f>I11/2 - E11/2</f>
        <v>25.5</v>
      </c>
      <c r="K11" s="4">
        <f>C11-J11</f>
        <v>11.5</v>
      </c>
      <c r="L11" s="4">
        <f>I11/2 + E11/2</f>
        <v>28</v>
      </c>
      <c r="M11" s="4">
        <f>D11-L11</f>
        <v>-4</v>
      </c>
      <c r="N11" s="4">
        <f t="shared" si="2"/>
        <v>15.523809523809524</v>
      </c>
      <c r="O11" s="4">
        <f t="shared" si="3"/>
        <v>25.488095238095237</v>
      </c>
      <c r="P11" s="4">
        <f t="shared" si="4"/>
        <v>11.511904761904763</v>
      </c>
      <c r="Q11" s="4">
        <f t="shared" si="5"/>
        <v>28.011904761904763</v>
      </c>
      <c r="R11" s="4">
        <f t="shared" si="6"/>
        <v>-4.0119047619047628</v>
      </c>
      <c r="S11" s="2">
        <v>117</v>
      </c>
      <c r="T11" s="11">
        <f t="shared" si="0"/>
        <v>0.46082949308755761</v>
      </c>
    </row>
    <row r="12" spans="1:20" x14ac:dyDescent="0.2">
      <c r="A12" s="2">
        <v>9</v>
      </c>
      <c r="B12" s="2" t="s">
        <v>117</v>
      </c>
      <c r="C12" s="9">
        <v>22</v>
      </c>
      <c r="D12" s="9">
        <v>21</v>
      </c>
      <c r="E12" s="3">
        <v>-3</v>
      </c>
      <c r="F12" s="2">
        <v>-111</v>
      </c>
      <c r="G12" s="4">
        <f t="shared" si="1"/>
        <v>-3.1714285714285717</v>
      </c>
      <c r="H12" s="4">
        <f>(C12-D12) + E12</f>
        <v>-2</v>
      </c>
      <c r="I12" s="3">
        <v>40.5</v>
      </c>
      <c r="J12" s="4">
        <f>I12/2 - E12/2</f>
        <v>21.75</v>
      </c>
      <c r="K12" s="4">
        <f>C12-J12</f>
        <v>0.25</v>
      </c>
      <c r="L12" s="4">
        <f>I12/2 + E12/2</f>
        <v>18.75</v>
      </c>
      <c r="M12" s="4">
        <f>D12-L12</f>
        <v>2.25</v>
      </c>
      <c r="N12" s="4">
        <f t="shared" si="2"/>
        <v>-2.1714285714285717</v>
      </c>
      <c r="O12" s="4">
        <f t="shared" si="3"/>
        <v>21.835714285714285</v>
      </c>
      <c r="P12" s="4">
        <f t="shared" si="4"/>
        <v>0.16428571428571459</v>
      </c>
      <c r="Q12" s="4">
        <f t="shared" si="5"/>
        <v>18.664285714285715</v>
      </c>
      <c r="R12" s="4">
        <f t="shared" si="6"/>
        <v>2.3357142857142854</v>
      </c>
      <c r="S12" s="2">
        <v>-162</v>
      </c>
      <c r="T12" s="11">
        <f t="shared" si="0"/>
        <v>0.61832061068702293</v>
      </c>
    </row>
    <row r="13" spans="1:20" x14ac:dyDescent="0.2">
      <c r="A13" s="2">
        <v>10</v>
      </c>
      <c r="B13" s="2" t="s">
        <v>116</v>
      </c>
      <c r="C13" s="2">
        <v>13</v>
      </c>
      <c r="D13" s="2">
        <v>17</v>
      </c>
      <c r="E13" s="3">
        <v>-2.5</v>
      </c>
      <c r="F13" s="2">
        <v>-115</v>
      </c>
      <c r="G13" s="4">
        <f t="shared" si="1"/>
        <v>-2.7380952380952381</v>
      </c>
      <c r="H13" s="4">
        <f>(C13-D13) + E13</f>
        <v>-6.5</v>
      </c>
      <c r="I13" s="3">
        <v>55.5</v>
      </c>
      <c r="J13" s="4">
        <f>I13/2 - E13/2</f>
        <v>29</v>
      </c>
      <c r="K13" s="4">
        <f>C13-J13</f>
        <v>-16</v>
      </c>
      <c r="L13" s="4">
        <f>I13/2 + E13/2</f>
        <v>26.5</v>
      </c>
      <c r="M13" s="4">
        <f>D13-L13</f>
        <v>-9.5</v>
      </c>
      <c r="N13" s="4">
        <f t="shared" si="2"/>
        <v>-6.7380952380952381</v>
      </c>
      <c r="O13" s="4">
        <f t="shared" si="3"/>
        <v>29.11904761904762</v>
      </c>
      <c r="P13" s="4">
        <f t="shared" si="4"/>
        <v>-16.11904761904762</v>
      </c>
      <c r="Q13" s="4">
        <f t="shared" si="5"/>
        <v>26.38095238095238</v>
      </c>
      <c r="R13" s="4">
        <f t="shared" si="6"/>
        <v>-9.3809523809523796</v>
      </c>
      <c r="S13" s="2">
        <v>-141</v>
      </c>
      <c r="T13" s="11">
        <f t="shared" si="0"/>
        <v>0.58506224066390045</v>
      </c>
    </row>
    <row r="14" spans="1:20" x14ac:dyDescent="0.2">
      <c r="A14" s="2">
        <v>11</v>
      </c>
      <c r="B14" s="2" t="s">
        <v>169</v>
      </c>
      <c r="C14" s="2">
        <v>23</v>
      </c>
      <c r="D14" s="2">
        <v>28</v>
      </c>
      <c r="E14" s="3">
        <v>3.5</v>
      </c>
      <c r="F14" s="2">
        <v>-118</v>
      </c>
      <c r="G14" s="4">
        <f t="shared" si="1"/>
        <v>3.9333333333333336</v>
      </c>
      <c r="H14" s="4">
        <f>(C14-D14) + E14</f>
        <v>-1.5</v>
      </c>
      <c r="I14" s="3">
        <v>49.5</v>
      </c>
      <c r="J14" s="4">
        <f>I14/2 - E14/2</f>
        <v>23</v>
      </c>
      <c r="K14" s="4">
        <f>C14-J14</f>
        <v>0</v>
      </c>
      <c r="L14" s="4">
        <f>I14/2 + E14/2</f>
        <v>26.5</v>
      </c>
      <c r="M14" s="4">
        <f>D14-L14</f>
        <v>1.5</v>
      </c>
      <c r="N14" s="4">
        <f t="shared" si="2"/>
        <v>-1.0666666666666664</v>
      </c>
      <c r="O14" s="4">
        <f t="shared" si="3"/>
        <v>22.783333333333331</v>
      </c>
      <c r="P14" s="4">
        <f t="shared" si="4"/>
        <v>0.21666666666666856</v>
      </c>
      <c r="Q14" s="4">
        <f t="shared" si="5"/>
        <v>26.716666666666669</v>
      </c>
      <c r="R14" s="4">
        <f t="shared" si="6"/>
        <v>1.2833333333333314</v>
      </c>
      <c r="S14" s="2">
        <v>137</v>
      </c>
      <c r="T14" s="11">
        <f t="shared" si="0"/>
        <v>0.4219409282700422</v>
      </c>
    </row>
    <row r="15" spans="1:20" x14ac:dyDescent="0.2">
      <c r="A15" s="2">
        <v>12</v>
      </c>
      <c r="B15" s="2" t="s">
        <v>170</v>
      </c>
      <c r="C15" s="9">
        <v>30</v>
      </c>
      <c r="D15" s="9">
        <v>18</v>
      </c>
      <c r="E15" s="3">
        <v>-12</v>
      </c>
      <c r="F15" s="2">
        <v>-111</v>
      </c>
      <c r="G15" s="4">
        <f t="shared" si="1"/>
        <v>-12.685714285714287</v>
      </c>
      <c r="H15" s="4">
        <f>(C15-D15) + E15</f>
        <v>0</v>
      </c>
      <c r="I15" s="3">
        <v>40.5</v>
      </c>
      <c r="J15" s="4">
        <f>I15/2 - E15/2</f>
        <v>26.25</v>
      </c>
      <c r="K15" s="4">
        <f>C15-J15</f>
        <v>3.75</v>
      </c>
      <c r="L15" s="4">
        <f>I15/2 + E15/2</f>
        <v>14.25</v>
      </c>
      <c r="M15" s="4">
        <f>D15-L15</f>
        <v>3.75</v>
      </c>
      <c r="N15" s="4">
        <f t="shared" si="2"/>
        <v>-0.68571428571428683</v>
      </c>
      <c r="O15" s="4">
        <f t="shared" si="3"/>
        <v>26.592857142857142</v>
      </c>
      <c r="P15" s="4">
        <f t="shared" si="4"/>
        <v>3.4071428571428584</v>
      </c>
      <c r="Q15" s="4">
        <f t="shared" si="5"/>
        <v>13.907142857142857</v>
      </c>
      <c r="R15" s="4">
        <f t="shared" si="6"/>
        <v>4.0928571428571434</v>
      </c>
      <c r="S15" s="2">
        <v>-532</v>
      </c>
      <c r="T15" s="11">
        <f t="shared" si="0"/>
        <v>0.84177215189873422</v>
      </c>
    </row>
    <row r="17" spans="1:20" s="4" customFormat="1" x14ac:dyDescent="0.2">
      <c r="A17" s="5" t="s">
        <v>25</v>
      </c>
      <c r="C17" s="4">
        <f>SUM(C4:C15)</f>
        <v>369</v>
      </c>
      <c r="D17" s="4">
        <f>SUM(D4:D15)</f>
        <v>241</v>
      </c>
      <c r="E17" s="4">
        <f t="shared" ref="E17:F17" si="7">SUM(E4:E15)</f>
        <v>-26.5</v>
      </c>
      <c r="F17" s="4">
        <f t="shared" si="7"/>
        <v>-1337</v>
      </c>
      <c r="G17" s="4">
        <f>SUM(G4:G15)</f>
        <v>-28.214285714285715</v>
      </c>
      <c r="H17" s="4">
        <f>SUM(H4:H15)</f>
        <v>101.5</v>
      </c>
      <c r="I17" s="4">
        <f>SUM(I4:I15)</f>
        <v>582.5</v>
      </c>
      <c r="J17" s="4">
        <f>SUM(J4:J15)</f>
        <v>304.5</v>
      </c>
      <c r="K17" s="4">
        <f>SUM(K4:K15)</f>
        <v>64.5</v>
      </c>
      <c r="L17" s="4">
        <f>SUM(L4:L15)</f>
        <v>278</v>
      </c>
      <c r="M17" s="4">
        <f>SUM(M3:M15)</f>
        <v>-37</v>
      </c>
      <c r="N17" s="4">
        <f>SUM(N3:N15)</f>
        <v>99.785714285714292</v>
      </c>
      <c r="O17" s="4">
        <f>SUM(O3:O15)</f>
        <v>305.35714285714289</v>
      </c>
      <c r="P17" s="4">
        <f>SUM(P3:P15)</f>
        <v>63.642857142857139</v>
      </c>
      <c r="Q17" s="4">
        <f>SUM(Q3:Q15)</f>
        <v>277.14285714285711</v>
      </c>
      <c r="R17" s="4">
        <f>SUM(R3:R15)</f>
        <v>-36.142857142857153</v>
      </c>
    </row>
    <row r="18" spans="1:20" s="7" customFormat="1" x14ac:dyDescent="0.2">
      <c r="A18" s="6" t="s">
        <v>26</v>
      </c>
      <c r="C18" s="7">
        <f>AVERAGE(C4:C15)</f>
        <v>30.75</v>
      </c>
      <c r="D18" s="7">
        <f>AVERAGE(D4:D15)</f>
        <v>20.083333333333332</v>
      </c>
      <c r="E18" s="7">
        <f>AVERAGE(E4:E15)</f>
        <v>-2.2083333333333335</v>
      </c>
      <c r="F18" s="7">
        <f>AVERAGE(F4:F15)</f>
        <v>-111.41666666666667</v>
      </c>
      <c r="G18" s="4">
        <f>AVERAGE(G4:G15)</f>
        <v>-2.3511904761904763</v>
      </c>
      <c r="H18" s="7">
        <f>AVERAGE(H4:H15)</f>
        <v>8.4583333333333339</v>
      </c>
      <c r="I18" s="7">
        <f>AVERAGE(I4:I15)</f>
        <v>48.541666666666664</v>
      </c>
      <c r="J18" s="7">
        <f>AVERAGE(J4:J15)</f>
        <v>25.375</v>
      </c>
      <c r="K18" s="7">
        <f>AVERAGE(K4:K15)</f>
        <v>5.375</v>
      </c>
      <c r="L18" s="7">
        <f>AVERAGE(L4:L15)</f>
        <v>23.166666666666668</v>
      </c>
      <c r="M18" s="7">
        <f>AVERAGE(M4:M15)</f>
        <v>-3.0833333333333335</v>
      </c>
      <c r="N18" s="7">
        <f>AVERAGE(N4:N15)</f>
        <v>8.3154761904761916</v>
      </c>
      <c r="O18" s="7">
        <f>AVERAGE(O4:O15)</f>
        <v>25.446428571428573</v>
      </c>
      <c r="P18" s="7">
        <f>AVERAGE(P4:P15)</f>
        <v>5.3035714285714279</v>
      </c>
      <c r="Q18" s="7">
        <f>AVERAGE(Q4:Q15)</f>
        <v>23.095238095238091</v>
      </c>
      <c r="R18" s="7">
        <f>AVERAGE(R4:R15)</f>
        <v>-3.0119047619047628</v>
      </c>
      <c r="S18" s="7">
        <f>AVERAGE(S4:S15)</f>
        <v>-137</v>
      </c>
      <c r="T18" s="8">
        <f>AVERAGE(T4:T16)</f>
        <v>0.57656884112682161</v>
      </c>
    </row>
  </sheetData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A607-299B-6841-A08D-A6B9F922C436}">
  <sheetPr>
    <tabColor rgb="FFFFD441"/>
  </sheetPr>
  <dimension ref="A1:T46"/>
  <sheetViews>
    <sheetView zoomScale="55" zoomScaleNormal="100" workbookViewId="0">
      <selection activeCell="C19" sqref="C19:R19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6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171</v>
      </c>
      <c r="B1" s="1" t="s">
        <v>172</v>
      </c>
      <c r="C1" s="1" t="s">
        <v>153</v>
      </c>
      <c r="D1" s="1" t="s">
        <v>113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173</v>
      </c>
      <c r="C4" s="9">
        <v>21</v>
      </c>
      <c r="D4" s="9">
        <v>3</v>
      </c>
      <c r="E4" s="3">
        <v>-30.5</v>
      </c>
      <c r="F4" s="2">
        <v>-112</v>
      </c>
      <c r="G4" s="4">
        <f>E4*(F4/-105)</f>
        <v>-32.533333333333331</v>
      </c>
      <c r="H4" s="4">
        <f>(C4-D4) + E4</f>
        <v>-12.5</v>
      </c>
      <c r="I4" s="3">
        <v>52</v>
      </c>
      <c r="J4" s="4">
        <f>I4/2 - E4/2</f>
        <v>41.25</v>
      </c>
      <c r="K4" s="4">
        <f>C4-J4</f>
        <v>-20.25</v>
      </c>
      <c r="L4" s="4">
        <f>I4/2 + E4/2</f>
        <v>10.75</v>
      </c>
      <c r="M4" s="4">
        <f>D4-L4</f>
        <v>-7.75</v>
      </c>
      <c r="N4" s="4">
        <f>(C4-D4) + G4</f>
        <v>-14.533333333333331</v>
      </c>
      <c r="O4" s="4">
        <f>I4/2 - G4/2</f>
        <v>42.266666666666666</v>
      </c>
      <c r="P4" s="4">
        <f>C4-O4</f>
        <v>-21.266666666666666</v>
      </c>
      <c r="Q4" s="4">
        <f>I4/2 + G4/2</f>
        <v>9.7333333333333343</v>
      </c>
      <c r="R4" s="4">
        <f>D4-Q4</f>
        <v>-6.7333333333333343</v>
      </c>
      <c r="S4" s="2">
        <v>-7561</v>
      </c>
      <c r="T4" s="11">
        <f t="shared" ref="T4:T16" si="0">IF(S4&gt;0,100/(100+S4),ABS(S4)/(100+ABS(S4)))</f>
        <v>0.98694687377626944</v>
      </c>
    </row>
    <row r="5" spans="1:20" x14ac:dyDescent="0.2">
      <c r="A5" s="2">
        <v>2</v>
      </c>
      <c r="B5" s="2" t="s">
        <v>83</v>
      </c>
      <c r="C5" s="9">
        <v>20</v>
      </c>
      <c r="D5" s="9">
        <v>19</v>
      </c>
      <c r="E5" s="10">
        <v>2.5</v>
      </c>
      <c r="F5" s="2">
        <v>-102</v>
      </c>
      <c r="G5" s="4">
        <f t="shared" ref="G5:G16" si="1">E5*(F5/-105)</f>
        <v>2.4285714285714284</v>
      </c>
      <c r="H5" s="4">
        <f>(C5-D5) + E5</f>
        <v>3.5</v>
      </c>
      <c r="I5" s="3">
        <v>36</v>
      </c>
      <c r="J5" s="4">
        <f>I5/2 - E5/2</f>
        <v>16.75</v>
      </c>
      <c r="K5" s="4">
        <f>C5-J5</f>
        <v>3.25</v>
      </c>
      <c r="L5" s="4">
        <f>I5/2 + E5/2</f>
        <v>19.25</v>
      </c>
      <c r="M5" s="4">
        <f>D5-L5</f>
        <v>-0.25</v>
      </c>
      <c r="N5" s="4">
        <f t="shared" ref="N5:N16" si="2">(C5-D5) + G5</f>
        <v>3.4285714285714284</v>
      </c>
      <c r="O5" s="4">
        <f t="shared" ref="O5:O16" si="3">I5/2 - G5/2</f>
        <v>16.785714285714285</v>
      </c>
      <c r="P5" s="4">
        <f t="shared" ref="P5:P16" si="4">C5-O5</f>
        <v>3.2142857142857153</v>
      </c>
      <c r="Q5" s="4">
        <f t="shared" ref="Q5:Q16" si="5">I5/2 + G5/2</f>
        <v>19.214285714285715</v>
      </c>
      <c r="R5" s="4">
        <f t="shared" ref="R5:R16" si="6">D5-Q5</f>
        <v>-0.2142857142857153</v>
      </c>
      <c r="S5" s="2">
        <v>120</v>
      </c>
      <c r="T5" s="11">
        <f t="shared" si="0"/>
        <v>0.45454545454545453</v>
      </c>
    </row>
    <row r="6" spans="1:20" x14ac:dyDescent="0.2">
      <c r="A6" s="2">
        <v>3</v>
      </c>
      <c r="B6" s="2" t="s">
        <v>174</v>
      </c>
      <c r="C6" s="9">
        <v>52</v>
      </c>
      <c r="D6" s="9">
        <v>7</v>
      </c>
      <c r="E6" s="10">
        <v>-20.5</v>
      </c>
      <c r="F6" s="2">
        <v>-111</v>
      </c>
      <c r="G6" s="4">
        <f t="shared" si="1"/>
        <v>-21.671428571428571</v>
      </c>
      <c r="H6" s="4">
        <f>(C6-D6) + E6</f>
        <v>24.5</v>
      </c>
      <c r="I6" s="3">
        <v>52</v>
      </c>
      <c r="J6" s="4">
        <f>I6/2 - E6/2</f>
        <v>36.25</v>
      </c>
      <c r="K6" s="4">
        <f>C6-J6</f>
        <v>15.75</v>
      </c>
      <c r="L6" s="4">
        <f>I6/2 + E6/2</f>
        <v>15.75</v>
      </c>
      <c r="M6" s="4">
        <f>D6-L6</f>
        <v>-8.75</v>
      </c>
      <c r="N6" s="4">
        <f t="shared" si="2"/>
        <v>23.328571428571429</v>
      </c>
      <c r="O6" s="4">
        <f t="shared" si="3"/>
        <v>36.835714285714289</v>
      </c>
      <c r="P6" s="4">
        <f t="shared" si="4"/>
        <v>15.164285714285711</v>
      </c>
      <c r="Q6" s="4">
        <f t="shared" si="5"/>
        <v>15.164285714285715</v>
      </c>
      <c r="R6" s="4">
        <f t="shared" si="6"/>
        <v>-8.1642857142857146</v>
      </c>
      <c r="S6" s="2">
        <v>-1680</v>
      </c>
      <c r="T6" s="11">
        <f t="shared" si="0"/>
        <v>0.9438202247191011</v>
      </c>
    </row>
    <row r="7" spans="1:20" x14ac:dyDescent="0.2">
      <c r="A7" s="2">
        <v>4</v>
      </c>
      <c r="B7" s="2" t="s">
        <v>170</v>
      </c>
      <c r="C7" s="9">
        <v>20</v>
      </c>
      <c r="D7" s="9">
        <v>0</v>
      </c>
      <c r="E7" s="3">
        <v>-16</v>
      </c>
      <c r="F7" s="2">
        <v>-112</v>
      </c>
      <c r="G7" s="4">
        <f t="shared" si="1"/>
        <v>-17.066666666666666</v>
      </c>
      <c r="H7" s="4">
        <f>(C7-D7) + E7</f>
        <v>4</v>
      </c>
      <c r="I7" s="3">
        <v>43</v>
      </c>
      <c r="J7" s="4">
        <f>I7/2 - E7/2</f>
        <v>29.5</v>
      </c>
      <c r="K7" s="4">
        <f>C7-J7</f>
        <v>-9.5</v>
      </c>
      <c r="L7" s="4">
        <f>I7/2 + E7/2</f>
        <v>13.5</v>
      </c>
      <c r="M7" s="4">
        <f>D7-L7</f>
        <v>-13.5</v>
      </c>
      <c r="N7" s="4">
        <f t="shared" si="2"/>
        <v>2.9333333333333336</v>
      </c>
      <c r="O7" s="4">
        <f t="shared" si="3"/>
        <v>30.033333333333331</v>
      </c>
      <c r="P7" s="4">
        <f t="shared" si="4"/>
        <v>-10.033333333333331</v>
      </c>
      <c r="Q7" s="4">
        <f t="shared" si="5"/>
        <v>12.966666666666667</v>
      </c>
      <c r="R7" s="4">
        <f t="shared" si="6"/>
        <v>-12.966666666666667</v>
      </c>
      <c r="S7" s="2">
        <v>-794</v>
      </c>
      <c r="T7" s="11">
        <f t="shared" si="0"/>
        <v>0.88814317673378074</v>
      </c>
    </row>
    <row r="8" spans="1:20" x14ac:dyDescent="0.2">
      <c r="A8" s="2">
        <v>5</v>
      </c>
      <c r="B8" s="2" t="s">
        <v>168</v>
      </c>
      <c r="C8" s="9">
        <v>43</v>
      </c>
      <c r="D8" s="9">
        <v>21</v>
      </c>
      <c r="E8" s="10">
        <v>-12.5</v>
      </c>
      <c r="F8" s="2">
        <v>-111</v>
      </c>
      <c r="G8" s="4">
        <f t="shared" si="1"/>
        <v>-13.214285714285715</v>
      </c>
      <c r="H8" s="4">
        <f>(C8-D8) + E8</f>
        <v>9.5</v>
      </c>
      <c r="I8" s="3">
        <v>45</v>
      </c>
      <c r="J8" s="4">
        <f>I8/2 - E8/2</f>
        <v>28.75</v>
      </c>
      <c r="K8" s="4">
        <f>C8-J8</f>
        <v>14.25</v>
      </c>
      <c r="L8" s="4">
        <f>I8/2 + E8/2</f>
        <v>16.25</v>
      </c>
      <c r="M8" s="4">
        <f>D8-L8</f>
        <v>4.75</v>
      </c>
      <c r="N8" s="4">
        <f t="shared" si="2"/>
        <v>8.7857142857142847</v>
      </c>
      <c r="O8" s="4">
        <f t="shared" si="3"/>
        <v>29.107142857142858</v>
      </c>
      <c r="P8" s="4">
        <f t="shared" si="4"/>
        <v>13.892857142857142</v>
      </c>
      <c r="Q8" s="4">
        <f t="shared" si="5"/>
        <v>15.892857142857142</v>
      </c>
      <c r="R8" s="4">
        <f t="shared" si="6"/>
        <v>5.1071428571428577</v>
      </c>
      <c r="S8" s="2">
        <v>-489</v>
      </c>
      <c r="T8" s="11">
        <f t="shared" si="0"/>
        <v>0.83022071307300505</v>
      </c>
    </row>
    <row r="9" spans="1:20" x14ac:dyDescent="0.2">
      <c r="A9" s="2">
        <v>6</v>
      </c>
      <c r="B9" s="2" t="s">
        <v>12</v>
      </c>
      <c r="C9" s="9">
        <v>28</v>
      </c>
      <c r="D9" s="9">
        <v>16</v>
      </c>
      <c r="E9" s="10">
        <v>-3</v>
      </c>
      <c r="F9" s="2">
        <v>-114</v>
      </c>
      <c r="G9" s="4">
        <f t="shared" si="1"/>
        <v>-3.2571428571428571</v>
      </c>
      <c r="H9" s="4">
        <f>(C9-D9) + E9</f>
        <v>9</v>
      </c>
      <c r="I9" s="3">
        <v>53.5</v>
      </c>
      <c r="J9" s="4">
        <f>I9/2 - E9/2</f>
        <v>28.25</v>
      </c>
      <c r="K9" s="4">
        <f>C9-J9</f>
        <v>-0.25</v>
      </c>
      <c r="L9" s="4">
        <f>I9/2 + E9/2</f>
        <v>25.25</v>
      </c>
      <c r="M9" s="4">
        <f>D9-L9</f>
        <v>-9.25</v>
      </c>
      <c r="N9" s="4">
        <f t="shared" si="2"/>
        <v>8.7428571428571438</v>
      </c>
      <c r="O9" s="4">
        <f t="shared" si="3"/>
        <v>28.37857142857143</v>
      </c>
      <c r="P9" s="4">
        <f t="shared" si="4"/>
        <v>-0.37857142857142989</v>
      </c>
      <c r="Q9" s="4">
        <f t="shared" si="5"/>
        <v>25.12142857142857</v>
      </c>
      <c r="R9" s="4">
        <f t="shared" si="6"/>
        <v>-9.1214285714285701</v>
      </c>
      <c r="S9" s="2">
        <v>-156</v>
      </c>
      <c r="T9" s="11">
        <f t="shared" si="0"/>
        <v>0.609375</v>
      </c>
    </row>
    <row r="10" spans="1:20" x14ac:dyDescent="0.2">
      <c r="A10" s="2">
        <v>7</v>
      </c>
      <c r="B10" s="2" t="s">
        <v>120</v>
      </c>
      <c r="C10" s="9">
        <v>38</v>
      </c>
      <c r="D10" s="9">
        <v>35</v>
      </c>
      <c r="E10" s="3">
        <v>-13.5</v>
      </c>
      <c r="F10" s="2">
        <v>-110</v>
      </c>
      <c r="G10" s="4">
        <f t="shared" si="1"/>
        <v>-14.142857142857144</v>
      </c>
      <c r="H10" s="4">
        <f>(C10-D10) + E10</f>
        <v>-10.5</v>
      </c>
      <c r="I10" s="3">
        <v>49.5</v>
      </c>
      <c r="J10" s="4">
        <f>I10/2 - E10/2</f>
        <v>31.5</v>
      </c>
      <c r="K10" s="4">
        <f>C10-J10</f>
        <v>6.5</v>
      </c>
      <c r="L10" s="4">
        <f>I10/2 + E10/2</f>
        <v>18</v>
      </c>
      <c r="M10" s="4">
        <f>D10-L10</f>
        <v>17</v>
      </c>
      <c r="N10" s="4">
        <f t="shared" si="2"/>
        <v>-11.142857142857144</v>
      </c>
      <c r="O10" s="4">
        <f t="shared" si="3"/>
        <v>31.821428571428573</v>
      </c>
      <c r="P10" s="4">
        <f t="shared" si="4"/>
        <v>6.178571428571427</v>
      </c>
      <c r="Q10" s="4">
        <f t="shared" si="5"/>
        <v>17.678571428571427</v>
      </c>
      <c r="R10" s="4">
        <f t="shared" si="6"/>
        <v>17.321428571428573</v>
      </c>
      <c r="S10" s="2">
        <v>-583</v>
      </c>
      <c r="T10" s="11">
        <f t="shared" si="0"/>
        <v>0.85358711566617862</v>
      </c>
    </row>
    <row r="11" spans="1:20" x14ac:dyDescent="0.2">
      <c r="A11" s="2">
        <v>8</v>
      </c>
      <c r="B11" s="2" t="s">
        <v>115</v>
      </c>
      <c r="C11" s="2">
        <v>22</v>
      </c>
      <c r="D11" s="2">
        <v>23</v>
      </c>
      <c r="E11" s="3">
        <v>-13.5</v>
      </c>
      <c r="F11" s="2">
        <v>-110</v>
      </c>
      <c r="G11" s="4">
        <f t="shared" si="1"/>
        <v>-14.142857142857144</v>
      </c>
      <c r="H11" s="4">
        <f>(C11-D11) + E11</f>
        <v>-14.5</v>
      </c>
      <c r="I11" s="3">
        <v>55</v>
      </c>
      <c r="J11" s="4">
        <f>I11/2 - E11/2</f>
        <v>34.25</v>
      </c>
      <c r="K11" s="4">
        <f>C11-J11</f>
        <v>-12.25</v>
      </c>
      <c r="L11" s="4">
        <f>I11/2 + E11/2</f>
        <v>20.75</v>
      </c>
      <c r="M11" s="4">
        <f>D11-L11</f>
        <v>2.25</v>
      </c>
      <c r="N11" s="4">
        <f t="shared" si="2"/>
        <v>-15.142857142857144</v>
      </c>
      <c r="O11" s="4">
        <f t="shared" si="3"/>
        <v>34.571428571428569</v>
      </c>
      <c r="P11" s="4">
        <f t="shared" si="4"/>
        <v>-12.571428571428569</v>
      </c>
      <c r="Q11" s="4">
        <f t="shared" si="5"/>
        <v>20.428571428571427</v>
      </c>
      <c r="R11" s="4">
        <f t="shared" si="6"/>
        <v>2.571428571428573</v>
      </c>
      <c r="S11" s="2">
        <v>-535</v>
      </c>
      <c r="T11" s="11">
        <f t="shared" si="0"/>
        <v>0.84251968503937003</v>
      </c>
    </row>
    <row r="12" spans="1:20" x14ac:dyDescent="0.2">
      <c r="A12" s="2">
        <v>9</v>
      </c>
      <c r="B12" s="2" t="s">
        <v>116</v>
      </c>
      <c r="C12" s="2">
        <v>36</v>
      </c>
      <c r="D12" s="2">
        <v>45</v>
      </c>
      <c r="E12" s="3">
        <v>-2</v>
      </c>
      <c r="F12" s="2">
        <v>-110</v>
      </c>
      <c r="G12" s="4">
        <f t="shared" si="1"/>
        <v>-2.0952380952380953</v>
      </c>
      <c r="H12" s="4">
        <f>(C12-D12) + E12</f>
        <v>-11</v>
      </c>
      <c r="I12" s="3">
        <v>52.5</v>
      </c>
      <c r="J12" s="4">
        <f>I12/2 - E12/2</f>
        <v>27.25</v>
      </c>
      <c r="K12" s="4">
        <f>C12-J12</f>
        <v>8.75</v>
      </c>
      <c r="L12" s="4">
        <f>I12/2 + E12/2</f>
        <v>25.25</v>
      </c>
      <c r="M12" s="4">
        <f>D12-L12</f>
        <v>19.75</v>
      </c>
      <c r="N12" s="4">
        <f t="shared" si="2"/>
        <v>-11.095238095238095</v>
      </c>
      <c r="O12" s="4">
        <f t="shared" si="3"/>
        <v>27.297619047619047</v>
      </c>
      <c r="P12" s="4">
        <f t="shared" si="4"/>
        <v>8.7023809523809526</v>
      </c>
      <c r="Q12" s="4">
        <f t="shared" si="5"/>
        <v>25.202380952380953</v>
      </c>
      <c r="R12" s="4">
        <f t="shared" si="6"/>
        <v>19.797619047619047</v>
      </c>
      <c r="S12" s="2">
        <v>-130</v>
      </c>
      <c r="T12" s="11">
        <f t="shared" si="0"/>
        <v>0.56521739130434778</v>
      </c>
    </row>
    <row r="13" spans="1:20" x14ac:dyDescent="0.2">
      <c r="A13" s="2">
        <v>10</v>
      </c>
      <c r="B13" s="2" t="s">
        <v>118</v>
      </c>
      <c r="C13" s="9">
        <v>34</v>
      </c>
      <c r="D13" s="9">
        <v>17</v>
      </c>
      <c r="E13" s="10">
        <v>-7</v>
      </c>
      <c r="F13" s="2">
        <v>-112</v>
      </c>
      <c r="G13" s="4">
        <f t="shared" si="1"/>
        <v>-7.4666666666666668</v>
      </c>
      <c r="H13" s="4">
        <f>(C13-D13) + E13</f>
        <v>10</v>
      </c>
      <c r="I13" s="3">
        <v>52.5</v>
      </c>
      <c r="J13" s="4">
        <f>I13/2 - E13/2</f>
        <v>29.75</v>
      </c>
      <c r="K13" s="4">
        <f>C13-J13</f>
        <v>4.25</v>
      </c>
      <c r="L13" s="4">
        <f>I13/2 + E13/2</f>
        <v>22.75</v>
      </c>
      <c r="M13" s="4">
        <f>D13-L13</f>
        <v>-5.75</v>
      </c>
      <c r="N13" s="4">
        <f t="shared" si="2"/>
        <v>9.5333333333333332</v>
      </c>
      <c r="O13" s="4">
        <f t="shared" si="3"/>
        <v>29.983333333333334</v>
      </c>
      <c r="P13" s="4">
        <f t="shared" si="4"/>
        <v>4.0166666666666657</v>
      </c>
      <c r="Q13" s="4">
        <f t="shared" si="5"/>
        <v>22.516666666666666</v>
      </c>
      <c r="R13" s="4">
        <f t="shared" si="6"/>
        <v>-5.5166666666666657</v>
      </c>
      <c r="S13" s="2">
        <v>-275</v>
      </c>
      <c r="T13" s="11">
        <f t="shared" si="0"/>
        <v>0.73333333333333328</v>
      </c>
    </row>
    <row r="14" spans="1:20" x14ac:dyDescent="0.2">
      <c r="A14" s="2">
        <v>11</v>
      </c>
      <c r="B14" s="2" t="s">
        <v>117</v>
      </c>
      <c r="C14" s="9">
        <v>31</v>
      </c>
      <c r="D14" s="9">
        <v>28</v>
      </c>
      <c r="E14" s="3">
        <v>-6.5</v>
      </c>
      <c r="F14" s="2">
        <v>-116</v>
      </c>
      <c r="G14" s="4">
        <f t="shared" si="1"/>
        <v>-7.1809523809523812</v>
      </c>
      <c r="H14" s="4">
        <f>(C14-D14) + E14</f>
        <v>-3.5</v>
      </c>
      <c r="I14" s="3">
        <v>42.5</v>
      </c>
      <c r="J14" s="4">
        <f>I14/2 - E14/2</f>
        <v>24.5</v>
      </c>
      <c r="K14" s="4">
        <f>C14-J14</f>
        <v>6.5</v>
      </c>
      <c r="L14" s="4">
        <f>I14/2 + E14/2</f>
        <v>18</v>
      </c>
      <c r="M14" s="4">
        <f>D14-L14</f>
        <v>10</v>
      </c>
      <c r="N14" s="4">
        <f t="shared" si="2"/>
        <v>-4.1809523809523812</v>
      </c>
      <c r="O14" s="4">
        <f t="shared" si="3"/>
        <v>24.840476190476192</v>
      </c>
      <c r="P14" s="4">
        <f t="shared" si="4"/>
        <v>6.1595238095238081</v>
      </c>
      <c r="Q14" s="4">
        <f t="shared" si="5"/>
        <v>17.659523809523808</v>
      </c>
      <c r="R14" s="4">
        <f t="shared" si="6"/>
        <v>10.340476190476192</v>
      </c>
      <c r="S14" s="2">
        <v>-247</v>
      </c>
      <c r="T14" s="11">
        <f t="shared" si="0"/>
        <v>0.71181556195965423</v>
      </c>
    </row>
    <row r="15" spans="1:20" x14ac:dyDescent="0.2">
      <c r="A15" s="2">
        <v>12</v>
      </c>
      <c r="B15" s="2" t="s">
        <v>121</v>
      </c>
      <c r="C15" s="9">
        <v>29</v>
      </c>
      <c r="D15" s="9">
        <v>21</v>
      </c>
      <c r="E15" s="10">
        <v>-2</v>
      </c>
      <c r="F15" s="2">
        <v>-110</v>
      </c>
      <c r="G15" s="4">
        <f t="shared" si="1"/>
        <v>-2.0952380952380953</v>
      </c>
      <c r="H15" s="4">
        <f>(C15-D15) + E15</f>
        <v>6</v>
      </c>
      <c r="I15" s="3">
        <v>51</v>
      </c>
      <c r="J15" s="4">
        <f>I15/2 - E15/2</f>
        <v>26.5</v>
      </c>
      <c r="K15" s="4">
        <f>C15-J15</f>
        <v>2.5</v>
      </c>
      <c r="L15" s="4">
        <f>I15/2 + E15/2</f>
        <v>24.5</v>
      </c>
      <c r="M15" s="4">
        <f>D15-L15</f>
        <v>-3.5</v>
      </c>
      <c r="N15" s="4">
        <f t="shared" si="2"/>
        <v>5.9047619047619051</v>
      </c>
      <c r="O15" s="4">
        <f t="shared" si="3"/>
        <v>26.547619047619047</v>
      </c>
      <c r="P15" s="4">
        <f t="shared" si="4"/>
        <v>2.4523809523809526</v>
      </c>
      <c r="Q15" s="4">
        <f t="shared" si="5"/>
        <v>24.452380952380953</v>
      </c>
      <c r="R15" s="4">
        <f t="shared" si="6"/>
        <v>-3.4523809523809526</v>
      </c>
      <c r="S15" s="2">
        <v>-124</v>
      </c>
      <c r="T15" s="11">
        <f t="shared" si="0"/>
        <v>0.5535714285714286</v>
      </c>
    </row>
    <row r="16" spans="1:20" x14ac:dyDescent="0.2">
      <c r="A16" s="2" t="s">
        <v>125</v>
      </c>
      <c r="B16" s="2" t="s">
        <v>169</v>
      </c>
      <c r="C16" s="2">
        <v>19</v>
      </c>
      <c r="D16" s="2">
        <v>45</v>
      </c>
      <c r="E16" s="3">
        <v>-1.5</v>
      </c>
      <c r="F16" s="2">
        <v>-110</v>
      </c>
      <c r="G16" s="4">
        <f t="shared" si="1"/>
        <v>-1.5714285714285716</v>
      </c>
      <c r="H16" s="4">
        <f>(C16-D16) + E16</f>
        <v>-27.5</v>
      </c>
      <c r="I16" s="3">
        <v>50.5</v>
      </c>
      <c r="J16" s="4">
        <f>I16/2 - E16/2</f>
        <v>26</v>
      </c>
      <c r="K16" s="4">
        <f>C16-J16</f>
        <v>-7</v>
      </c>
      <c r="L16" s="4">
        <f>I16/2 + E16/2</f>
        <v>24.5</v>
      </c>
      <c r="M16" s="4">
        <f>D16-L16</f>
        <v>20.5</v>
      </c>
      <c r="N16" s="4">
        <f t="shared" si="2"/>
        <v>-27.571428571428573</v>
      </c>
      <c r="O16" s="4">
        <f t="shared" si="3"/>
        <v>26.035714285714285</v>
      </c>
      <c r="P16" s="4">
        <f t="shared" si="4"/>
        <v>-7.0357142857142847</v>
      </c>
      <c r="Q16" s="4">
        <f t="shared" si="5"/>
        <v>24.464285714285715</v>
      </c>
      <c r="R16" s="4">
        <f t="shared" si="6"/>
        <v>20.535714285714285</v>
      </c>
      <c r="S16" s="2">
        <v>-120</v>
      </c>
      <c r="T16" s="11">
        <f t="shared" si="0"/>
        <v>0.54545454545454541</v>
      </c>
    </row>
    <row r="18" spans="1:20" s="4" customFormat="1" x14ac:dyDescent="0.2">
      <c r="A18" s="5" t="s">
        <v>25</v>
      </c>
      <c r="C18" s="4">
        <f>SUM(C4:C16)</f>
        <v>393</v>
      </c>
      <c r="D18" s="4">
        <f>SUM(D4:D16)</f>
        <v>280</v>
      </c>
      <c r="E18" s="4">
        <f t="shared" ref="E18:F18" si="7">SUM(E4:E16)</f>
        <v>-126</v>
      </c>
      <c r="F18" s="4">
        <f t="shared" si="7"/>
        <v>-1440</v>
      </c>
      <c r="G18" s="4">
        <f>SUM(G4:G16)</f>
        <v>-134.00952380952381</v>
      </c>
      <c r="H18" s="4">
        <f>SUM(H4:H16)</f>
        <v>-13</v>
      </c>
      <c r="I18" s="4">
        <f>SUM(I4:I16)</f>
        <v>635</v>
      </c>
      <c r="J18" s="4">
        <f>SUM(J4:J16)</f>
        <v>380.5</v>
      </c>
      <c r="K18" s="4">
        <f>SUM(K4:K16)</f>
        <v>12.5</v>
      </c>
      <c r="L18" s="4">
        <f>SUM(L4:L16)</f>
        <v>254.5</v>
      </c>
      <c r="M18" s="4">
        <f>SUM(M3:M16)</f>
        <v>25.5</v>
      </c>
      <c r="N18" s="4">
        <f t="shared" ref="N18:R18" si="8">SUM(N3:N16)</f>
        <v>-21.009523809523817</v>
      </c>
      <c r="O18" s="4">
        <f t="shared" si="8"/>
        <v>384.50476190476189</v>
      </c>
      <c r="P18" s="4">
        <f t="shared" si="8"/>
        <v>8.4952380952380935</v>
      </c>
      <c r="Q18" s="4">
        <f t="shared" si="8"/>
        <v>250.49523809523811</v>
      </c>
      <c r="R18" s="4">
        <f t="shared" si="8"/>
        <v>29.50476190476191</v>
      </c>
    </row>
    <row r="19" spans="1:20" s="7" customFormat="1" x14ac:dyDescent="0.2">
      <c r="A19" s="6" t="s">
        <v>26</v>
      </c>
      <c r="C19" s="7">
        <f t="shared" ref="C19:S19" si="9">AVERAGE(C4:C16)</f>
        <v>30.23076923076923</v>
      </c>
      <c r="D19" s="7">
        <f t="shared" si="9"/>
        <v>21.53846153846154</v>
      </c>
      <c r="E19" s="7">
        <f t="shared" si="9"/>
        <v>-9.6923076923076916</v>
      </c>
      <c r="F19" s="7">
        <f t="shared" si="9"/>
        <v>-110.76923076923077</v>
      </c>
      <c r="G19" s="4">
        <f>AVERAGE(G4:G16)</f>
        <v>-10.308424908424909</v>
      </c>
      <c r="H19" s="7">
        <f t="shared" si="9"/>
        <v>-1</v>
      </c>
      <c r="I19" s="7">
        <f t="shared" si="9"/>
        <v>48.846153846153847</v>
      </c>
      <c r="J19" s="7">
        <f t="shared" si="9"/>
        <v>29.26923076923077</v>
      </c>
      <c r="K19" s="7">
        <f t="shared" si="9"/>
        <v>0.96153846153846156</v>
      </c>
      <c r="L19" s="7">
        <f t="shared" si="9"/>
        <v>19.576923076923077</v>
      </c>
      <c r="M19" s="7">
        <f t="shared" si="9"/>
        <v>1.9615384615384615</v>
      </c>
      <c r="N19" s="7">
        <f t="shared" si="9"/>
        <v>-1.6161172161172166</v>
      </c>
      <c r="O19" s="7">
        <f t="shared" si="9"/>
        <v>29.577289377289375</v>
      </c>
      <c r="P19" s="7">
        <f t="shared" si="9"/>
        <v>0.65347985347985338</v>
      </c>
      <c r="Q19" s="7">
        <f t="shared" si="9"/>
        <v>19.268864468864471</v>
      </c>
      <c r="R19" s="7">
        <f>AVERAGE(R4:R16)</f>
        <v>2.26959706959707</v>
      </c>
      <c r="S19" s="7">
        <f t="shared" si="9"/>
        <v>-967.23076923076928</v>
      </c>
      <c r="T19" s="8">
        <f>AVERAGE(T4:T17)</f>
        <v>0.73219619262895919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E3F9-4625-D748-A980-E292008C0139}">
  <sheetPr>
    <tabColor rgb="FFD7A800"/>
  </sheetPr>
  <dimension ref="A1:T18"/>
  <sheetViews>
    <sheetView zoomScale="57" zoomScaleNormal="100" workbookViewId="0">
      <selection activeCell="H41" sqref="H41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4.332031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175</v>
      </c>
      <c r="B1" s="1" t="s">
        <v>176</v>
      </c>
      <c r="C1" s="1" t="s">
        <v>153</v>
      </c>
      <c r="D1" s="1" t="s">
        <v>177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178</v>
      </c>
      <c r="C4" s="9">
        <v>42</v>
      </c>
      <c r="D4" s="9">
        <v>7</v>
      </c>
      <c r="E4" s="10">
        <v>-31.5</v>
      </c>
      <c r="F4" s="2">
        <v>-108</v>
      </c>
      <c r="G4" s="4">
        <f>E4*(F4/-105)</f>
        <v>-32.4</v>
      </c>
      <c r="H4" s="4">
        <f>(C4-D4) + E4</f>
        <v>3.5</v>
      </c>
      <c r="I4" s="3">
        <v>46.5</v>
      </c>
      <c r="J4" s="4">
        <f>I4/2 - E4/2</f>
        <v>39</v>
      </c>
      <c r="K4" s="4">
        <f>C4-J4</f>
        <v>3</v>
      </c>
      <c r="L4" s="4">
        <f>I4/2 + E4/2</f>
        <v>7.5</v>
      </c>
      <c r="M4" s="4">
        <f>D4-L4</f>
        <v>-0.5</v>
      </c>
      <c r="N4" s="4">
        <f>(C4-D4) + G4</f>
        <v>2.6000000000000014</v>
      </c>
      <c r="O4" s="4">
        <f>I4/2 - G4/2</f>
        <v>39.450000000000003</v>
      </c>
      <c r="P4" s="4">
        <f>C4-O4</f>
        <v>2.5499999999999972</v>
      </c>
      <c r="Q4" s="4">
        <f>I4/2 + G4/2</f>
        <v>7.0500000000000007</v>
      </c>
      <c r="R4" s="4">
        <f>D4-Q4</f>
        <v>-5.0000000000000711E-2</v>
      </c>
      <c r="S4" s="2">
        <v>-20000</v>
      </c>
      <c r="T4" s="11">
        <f t="shared" ref="T4:T15" si="0">IF(S4&gt;0,100/(100+S4),ABS(S4)/(100+ABS(S4)))</f>
        <v>0.99502487562189057</v>
      </c>
    </row>
    <row r="5" spans="1:20" x14ac:dyDescent="0.2">
      <c r="A5" s="2">
        <v>2</v>
      </c>
      <c r="B5" s="2" t="s">
        <v>179</v>
      </c>
      <c r="C5" s="9">
        <v>24</v>
      </c>
      <c r="D5" s="9">
        <v>7</v>
      </c>
      <c r="E5" s="10">
        <v>1</v>
      </c>
      <c r="F5" s="2">
        <v>-111</v>
      </c>
      <c r="G5" s="4">
        <f t="shared" ref="G5:G15" si="1">E5*(F5/-105)</f>
        <v>1.0571428571428572</v>
      </c>
      <c r="H5" s="4">
        <f>(C5-D5) + E5</f>
        <v>18</v>
      </c>
      <c r="I5" s="3">
        <v>41.5</v>
      </c>
      <c r="J5" s="4">
        <f>I5/2 - E5/2</f>
        <v>20.25</v>
      </c>
      <c r="K5" s="4">
        <f>C5-J5</f>
        <v>3.75</v>
      </c>
      <c r="L5" s="4">
        <f>I5/2 + E5/2</f>
        <v>21.25</v>
      </c>
      <c r="M5" s="4">
        <f>D5-L5</f>
        <v>-14.25</v>
      </c>
      <c r="N5" s="4">
        <f t="shared" ref="N5:N15" si="2">(C5-D5) + G5</f>
        <v>18.057142857142857</v>
      </c>
      <c r="O5" s="4">
        <f t="shared" ref="O5:O15" si="3">I5/2 - G5/2</f>
        <v>20.221428571428572</v>
      </c>
      <c r="P5" s="4">
        <f t="shared" ref="P5:P15" si="4">C5-O5</f>
        <v>3.7785714285714285</v>
      </c>
      <c r="Q5" s="4">
        <f t="shared" ref="Q5:Q15" si="5">I5/2 + G5/2</f>
        <v>21.278571428571428</v>
      </c>
      <c r="R5" s="4">
        <f t="shared" ref="R5:R15" si="6">D5-Q5</f>
        <v>-14.278571428571428</v>
      </c>
      <c r="S5" s="2">
        <v>-105</v>
      </c>
      <c r="T5" s="11">
        <f t="shared" si="0"/>
        <v>0.51219512195121952</v>
      </c>
    </row>
    <row r="6" spans="1:20" x14ac:dyDescent="0.2">
      <c r="A6" s="2">
        <v>3</v>
      </c>
      <c r="B6" s="2" t="s">
        <v>180</v>
      </c>
      <c r="C6" s="9">
        <v>37</v>
      </c>
      <c r="D6" s="9">
        <v>14</v>
      </c>
      <c r="E6" s="10">
        <v>-7.5</v>
      </c>
      <c r="F6" s="2">
        <v>-108</v>
      </c>
      <c r="G6" s="4">
        <f t="shared" si="1"/>
        <v>-7.7142857142857135</v>
      </c>
      <c r="H6" s="4">
        <f>(C6-D6) + E6</f>
        <v>15.5</v>
      </c>
      <c r="I6" s="3">
        <v>43.5</v>
      </c>
      <c r="J6" s="4">
        <f>I6/2 - E6/2</f>
        <v>25.5</v>
      </c>
      <c r="K6" s="4">
        <f>C6-J6</f>
        <v>11.5</v>
      </c>
      <c r="L6" s="4">
        <f>I6/2 + E6/2</f>
        <v>18</v>
      </c>
      <c r="M6" s="4">
        <f>D6-L6</f>
        <v>-4</v>
      </c>
      <c r="N6" s="4">
        <f t="shared" si="2"/>
        <v>15.285714285714286</v>
      </c>
      <c r="O6" s="4">
        <f t="shared" si="3"/>
        <v>25.607142857142858</v>
      </c>
      <c r="P6" s="4">
        <f t="shared" si="4"/>
        <v>11.392857142857142</v>
      </c>
      <c r="Q6" s="4">
        <f t="shared" si="5"/>
        <v>17.892857142857142</v>
      </c>
      <c r="R6" s="4">
        <f t="shared" si="6"/>
        <v>-3.8928571428571423</v>
      </c>
      <c r="S6" s="2">
        <v>-309</v>
      </c>
      <c r="T6" s="11">
        <f t="shared" si="0"/>
        <v>0.75550122249388751</v>
      </c>
    </row>
    <row r="7" spans="1:20" x14ac:dyDescent="0.2">
      <c r="A7" s="2">
        <v>4</v>
      </c>
      <c r="B7" s="2" t="s">
        <v>181</v>
      </c>
      <c r="C7" s="9">
        <v>42</v>
      </c>
      <c r="D7" s="9">
        <v>14</v>
      </c>
      <c r="E7" s="10">
        <v>-11.5</v>
      </c>
      <c r="F7" s="2">
        <v>-111</v>
      </c>
      <c r="G7" s="4">
        <f t="shared" si="1"/>
        <v>-12.157142857142857</v>
      </c>
      <c r="H7" s="4">
        <f>(C7-D7) + E7</f>
        <v>16.5</v>
      </c>
      <c r="I7" s="3">
        <v>46.5</v>
      </c>
      <c r="J7" s="4">
        <f>I7/2 - E7/2</f>
        <v>29</v>
      </c>
      <c r="K7" s="4">
        <f>C7-J7</f>
        <v>13</v>
      </c>
      <c r="L7" s="4">
        <f>I7/2 + E7/2</f>
        <v>17.5</v>
      </c>
      <c r="M7" s="4">
        <f>D7-L7</f>
        <v>-3.5</v>
      </c>
      <c r="N7" s="4">
        <f t="shared" si="2"/>
        <v>15.842857142857143</v>
      </c>
      <c r="O7" s="4">
        <f t="shared" si="3"/>
        <v>29.328571428571429</v>
      </c>
      <c r="P7" s="4">
        <f t="shared" si="4"/>
        <v>12.671428571428571</v>
      </c>
      <c r="Q7" s="4">
        <f t="shared" si="5"/>
        <v>17.171428571428571</v>
      </c>
      <c r="R7" s="4">
        <f t="shared" si="6"/>
        <v>-3.1714285714285708</v>
      </c>
      <c r="S7" s="2">
        <v>-488</v>
      </c>
      <c r="T7" s="11">
        <f t="shared" si="0"/>
        <v>0.82993197278911568</v>
      </c>
    </row>
    <row r="8" spans="1:20" x14ac:dyDescent="0.2">
      <c r="A8" s="2">
        <v>5</v>
      </c>
      <c r="B8" s="2" t="s">
        <v>182</v>
      </c>
      <c r="C8" s="9">
        <v>49</v>
      </c>
      <c r="D8" s="9">
        <v>7</v>
      </c>
      <c r="E8" s="10">
        <v>-14</v>
      </c>
      <c r="F8" s="2">
        <v>-108</v>
      </c>
      <c r="G8" s="4">
        <f t="shared" si="1"/>
        <v>-14.399999999999999</v>
      </c>
      <c r="H8" s="4">
        <f>(C8-D8) + E8</f>
        <v>28</v>
      </c>
      <c r="I8" s="3">
        <v>50.5</v>
      </c>
      <c r="J8" s="4">
        <f>I8/2 - E8/2</f>
        <v>32.25</v>
      </c>
      <c r="K8" s="4">
        <f>C8-J8</f>
        <v>16.75</v>
      </c>
      <c r="L8" s="4">
        <f>I8/2 + E8/2</f>
        <v>18.25</v>
      </c>
      <c r="M8" s="4">
        <f>D8-L8</f>
        <v>-11.25</v>
      </c>
      <c r="N8" s="4">
        <f t="shared" si="2"/>
        <v>27.6</v>
      </c>
      <c r="O8" s="4">
        <f t="shared" si="3"/>
        <v>32.450000000000003</v>
      </c>
      <c r="P8" s="4">
        <f t="shared" si="4"/>
        <v>16.549999999999997</v>
      </c>
      <c r="Q8" s="4">
        <f t="shared" si="5"/>
        <v>18.05</v>
      </c>
      <c r="R8" s="4">
        <f t="shared" si="6"/>
        <v>-11.05</v>
      </c>
      <c r="S8" s="2">
        <v>-591</v>
      </c>
      <c r="T8" s="11">
        <f t="shared" si="0"/>
        <v>0.85528219971056441</v>
      </c>
    </row>
    <row r="9" spans="1:20" x14ac:dyDescent="0.2">
      <c r="A9" s="2">
        <v>6</v>
      </c>
      <c r="B9" s="2" t="s">
        <v>183</v>
      </c>
      <c r="C9" s="9">
        <v>44</v>
      </c>
      <c r="D9" s="9">
        <v>10</v>
      </c>
      <c r="E9" s="9">
        <v>-27.5</v>
      </c>
      <c r="F9" s="2">
        <v>-112</v>
      </c>
      <c r="G9" s="4">
        <f t="shared" si="1"/>
        <v>-29.333333333333332</v>
      </c>
      <c r="H9" s="4">
        <f>(C9-D9) + E9</f>
        <v>6.5</v>
      </c>
      <c r="I9" s="3">
        <v>55.5</v>
      </c>
      <c r="J9" s="4">
        <f>I9/2 - E9/2</f>
        <v>41.5</v>
      </c>
      <c r="K9" s="4">
        <f>C9-J9</f>
        <v>2.5</v>
      </c>
      <c r="L9" s="4">
        <f>I9/2 + E9/2</f>
        <v>14</v>
      </c>
      <c r="M9" s="4">
        <f>D9-L9</f>
        <v>-4</v>
      </c>
      <c r="N9" s="4">
        <f t="shared" si="2"/>
        <v>4.6666666666666679</v>
      </c>
      <c r="O9" s="4">
        <f t="shared" si="3"/>
        <v>42.416666666666664</v>
      </c>
      <c r="P9" s="4">
        <f t="shared" si="4"/>
        <v>1.5833333333333357</v>
      </c>
      <c r="Q9" s="4">
        <f t="shared" si="5"/>
        <v>13.083333333333334</v>
      </c>
      <c r="R9" s="4">
        <f t="shared" si="6"/>
        <v>-3.0833333333333339</v>
      </c>
      <c r="S9" s="2">
        <v>-4688</v>
      </c>
      <c r="T9" s="11">
        <f t="shared" si="0"/>
        <v>0.97911445279866327</v>
      </c>
    </row>
    <row r="10" spans="1:20" x14ac:dyDescent="0.2">
      <c r="A10" s="2">
        <v>7</v>
      </c>
      <c r="B10" s="2" t="s">
        <v>184</v>
      </c>
      <c r="C10" s="9">
        <v>45</v>
      </c>
      <c r="D10" s="9">
        <v>28</v>
      </c>
      <c r="E10" s="3">
        <v>-17.5</v>
      </c>
      <c r="F10" s="2">
        <v>-110</v>
      </c>
      <c r="G10" s="4">
        <f t="shared" si="1"/>
        <v>-18.333333333333336</v>
      </c>
      <c r="H10" s="4">
        <f>(C10-D10) + E10</f>
        <v>-0.5</v>
      </c>
      <c r="I10" s="3">
        <v>54.5</v>
      </c>
      <c r="J10" s="4">
        <f>I10/2 - E10/2</f>
        <v>36</v>
      </c>
      <c r="K10" s="4">
        <f>C10-J10</f>
        <v>9</v>
      </c>
      <c r="L10" s="4">
        <f>I10/2 + E10/2</f>
        <v>18.5</v>
      </c>
      <c r="M10" s="4">
        <f>D10-L10</f>
        <v>9.5</v>
      </c>
      <c r="N10" s="4">
        <f t="shared" si="2"/>
        <v>-1.3333333333333357</v>
      </c>
      <c r="O10" s="4">
        <f t="shared" si="3"/>
        <v>36.416666666666671</v>
      </c>
      <c r="P10" s="4">
        <f t="shared" si="4"/>
        <v>8.5833333333333286</v>
      </c>
      <c r="Q10" s="4">
        <f t="shared" si="5"/>
        <v>18.083333333333332</v>
      </c>
      <c r="R10" s="4">
        <f t="shared" si="6"/>
        <v>9.9166666666666679</v>
      </c>
      <c r="S10" s="2">
        <v>-955</v>
      </c>
      <c r="T10" s="11">
        <f t="shared" si="0"/>
        <v>0.90521327014218012</v>
      </c>
    </row>
    <row r="11" spans="1:20" x14ac:dyDescent="0.2">
      <c r="A11" s="2">
        <v>8</v>
      </c>
      <c r="B11" s="2" t="s">
        <v>185</v>
      </c>
      <c r="C11" s="9">
        <v>20</v>
      </c>
      <c r="D11" s="9">
        <v>3</v>
      </c>
      <c r="E11" s="3">
        <v>-18.5</v>
      </c>
      <c r="F11" s="2">
        <v>-111</v>
      </c>
      <c r="G11" s="4">
        <f t="shared" si="1"/>
        <v>-19.557142857142857</v>
      </c>
      <c r="H11" s="4">
        <f>(C11-D11) + E11</f>
        <v>-1.5</v>
      </c>
      <c r="I11" s="3">
        <v>38.5</v>
      </c>
      <c r="J11" s="4">
        <f>I11/2 - E11/2</f>
        <v>28.5</v>
      </c>
      <c r="K11" s="4">
        <f>C11-J11</f>
        <v>-8.5</v>
      </c>
      <c r="L11" s="4">
        <f>I11/2 + E11/2</f>
        <v>10</v>
      </c>
      <c r="M11" s="4">
        <f>D11-L11</f>
        <v>-7</v>
      </c>
      <c r="N11" s="4">
        <f t="shared" si="2"/>
        <v>-2.5571428571428569</v>
      </c>
      <c r="O11" s="4">
        <f t="shared" si="3"/>
        <v>29.028571428571428</v>
      </c>
      <c r="P11" s="4">
        <f t="shared" si="4"/>
        <v>-9.0285714285714285</v>
      </c>
      <c r="Q11" s="4">
        <f t="shared" si="5"/>
        <v>9.4714285714285715</v>
      </c>
      <c r="R11" s="4">
        <f t="shared" si="6"/>
        <v>-6.4714285714285715</v>
      </c>
      <c r="S11" s="2">
        <v>-1302</v>
      </c>
      <c r="T11" s="11">
        <f t="shared" si="0"/>
        <v>0.92867332382310985</v>
      </c>
    </row>
    <row r="12" spans="1:20" x14ac:dyDescent="0.2">
      <c r="A12" s="2">
        <v>9</v>
      </c>
      <c r="B12" s="2" t="s">
        <v>186</v>
      </c>
      <c r="C12" s="9">
        <v>14</v>
      </c>
      <c r="D12" s="9">
        <v>3</v>
      </c>
      <c r="E12" s="10">
        <v>-6.5</v>
      </c>
      <c r="F12" s="2">
        <v>-113</v>
      </c>
      <c r="G12" s="4">
        <f t="shared" si="1"/>
        <v>-6.9952380952380953</v>
      </c>
      <c r="H12" s="4">
        <f>(C12-D12) + E12</f>
        <v>4.5</v>
      </c>
      <c r="I12" s="3">
        <v>68.5</v>
      </c>
      <c r="J12" s="4">
        <f>I12/2 - E12/2</f>
        <v>37.5</v>
      </c>
      <c r="K12" s="4">
        <f>C12-J12</f>
        <v>-23.5</v>
      </c>
      <c r="L12" s="4">
        <f>I12/2 + E12/2</f>
        <v>31</v>
      </c>
      <c r="M12" s="4">
        <f>D12-L12</f>
        <v>-28</v>
      </c>
      <c r="N12" s="4">
        <f t="shared" si="2"/>
        <v>4.0047619047619047</v>
      </c>
      <c r="O12" s="4">
        <f t="shared" si="3"/>
        <v>37.747619047619047</v>
      </c>
      <c r="P12" s="4">
        <f t="shared" si="4"/>
        <v>-23.747619047619047</v>
      </c>
      <c r="Q12" s="4">
        <f t="shared" si="5"/>
        <v>30.752380952380953</v>
      </c>
      <c r="R12" s="4">
        <f t="shared" si="6"/>
        <v>-27.752380952380953</v>
      </c>
      <c r="S12" s="2">
        <v>-243</v>
      </c>
      <c r="T12" s="11">
        <f t="shared" si="0"/>
        <v>0.70845481049562686</v>
      </c>
    </row>
    <row r="13" spans="1:20" x14ac:dyDescent="0.2">
      <c r="A13" s="2">
        <v>10</v>
      </c>
      <c r="B13" s="2" t="s">
        <v>187</v>
      </c>
      <c r="C13" s="2">
        <v>14</v>
      </c>
      <c r="D13" s="2">
        <v>49</v>
      </c>
      <c r="E13" s="3">
        <v>14.5</v>
      </c>
      <c r="F13" s="2">
        <v>-114</v>
      </c>
      <c r="G13" s="4">
        <f t="shared" si="1"/>
        <v>15.742857142857142</v>
      </c>
      <c r="H13" s="4">
        <f>(C13-D13) + E13</f>
        <v>-20.5</v>
      </c>
      <c r="I13" s="3">
        <v>44.5</v>
      </c>
      <c r="J13" s="4">
        <f>I13/2 - E13/2</f>
        <v>15</v>
      </c>
      <c r="K13" s="4">
        <f>C13-J13</f>
        <v>-1</v>
      </c>
      <c r="L13" s="4">
        <f>I13/2 + E13/2</f>
        <v>29.5</v>
      </c>
      <c r="M13" s="4">
        <f>D13-L13</f>
        <v>19.5</v>
      </c>
      <c r="N13" s="4">
        <f t="shared" si="2"/>
        <v>-19.25714285714286</v>
      </c>
      <c r="O13" s="4">
        <f t="shared" si="3"/>
        <v>14.37857142857143</v>
      </c>
      <c r="P13" s="4">
        <f t="shared" si="4"/>
        <v>-0.37857142857142989</v>
      </c>
      <c r="Q13" s="4">
        <f t="shared" si="5"/>
        <v>30.12142857142857</v>
      </c>
      <c r="R13" s="4">
        <f t="shared" si="6"/>
        <v>18.87857142857143</v>
      </c>
      <c r="S13" s="2">
        <v>460</v>
      </c>
      <c r="T13" s="11">
        <f t="shared" si="0"/>
        <v>0.17857142857142858</v>
      </c>
    </row>
    <row r="14" spans="1:20" x14ac:dyDescent="0.2">
      <c r="A14" s="2">
        <v>11</v>
      </c>
      <c r="B14" s="2" t="s">
        <v>188</v>
      </c>
      <c r="C14" s="9">
        <v>29</v>
      </c>
      <c r="D14" s="9">
        <v>24</v>
      </c>
      <c r="E14" s="3">
        <v>-6</v>
      </c>
      <c r="F14" s="2">
        <v>-112</v>
      </c>
      <c r="G14" s="4">
        <f t="shared" si="1"/>
        <v>-6.4</v>
      </c>
      <c r="H14" s="4">
        <f>(C14-D14) + E14</f>
        <v>-1</v>
      </c>
      <c r="I14" s="3">
        <v>53.5</v>
      </c>
      <c r="J14" s="4">
        <f>I14/2 - E14/2</f>
        <v>29.75</v>
      </c>
      <c r="K14" s="4">
        <f>C14-J14</f>
        <v>-0.75</v>
      </c>
      <c r="L14" s="4">
        <f>I14/2 + E14/2</f>
        <v>23.75</v>
      </c>
      <c r="M14" s="4">
        <f>D14-L14</f>
        <v>0.25</v>
      </c>
      <c r="N14" s="4">
        <f t="shared" si="2"/>
        <v>-1.4000000000000004</v>
      </c>
      <c r="O14" s="4">
        <f t="shared" si="3"/>
        <v>29.95</v>
      </c>
      <c r="P14" s="4">
        <f t="shared" si="4"/>
        <v>-0.94999999999999929</v>
      </c>
      <c r="Q14" s="4">
        <f t="shared" si="5"/>
        <v>23.55</v>
      </c>
      <c r="R14" s="4">
        <f t="shared" si="6"/>
        <v>0.44999999999999929</v>
      </c>
      <c r="S14" s="2">
        <v>-226</v>
      </c>
      <c r="T14" s="11">
        <f t="shared" si="0"/>
        <v>0.69325153374233128</v>
      </c>
    </row>
    <row r="15" spans="1:20" x14ac:dyDescent="0.2">
      <c r="A15" s="2">
        <v>12</v>
      </c>
      <c r="B15" s="2" t="s">
        <v>189</v>
      </c>
      <c r="C15" s="9">
        <v>35</v>
      </c>
      <c r="D15" s="9">
        <v>14</v>
      </c>
      <c r="E15" s="10">
        <v>5.5</v>
      </c>
      <c r="F15" s="2">
        <v>-112</v>
      </c>
      <c r="G15" s="4">
        <f t="shared" si="1"/>
        <v>5.8666666666666663</v>
      </c>
      <c r="H15" s="4">
        <f>(C15-D15) + E15</f>
        <v>26.5</v>
      </c>
      <c r="I15" s="3">
        <v>46.5</v>
      </c>
      <c r="J15" s="4">
        <f>I15/2 - E15/2</f>
        <v>20.5</v>
      </c>
      <c r="K15" s="4">
        <f>C15-J15</f>
        <v>14.5</v>
      </c>
      <c r="L15" s="4">
        <f>I15/2 + E15/2</f>
        <v>26</v>
      </c>
      <c r="M15" s="4">
        <f>D15-L15</f>
        <v>-12</v>
      </c>
      <c r="N15" s="4">
        <f t="shared" si="2"/>
        <v>26.866666666666667</v>
      </c>
      <c r="O15" s="4">
        <f t="shared" si="3"/>
        <v>20.316666666666666</v>
      </c>
      <c r="P15" s="4">
        <f t="shared" si="4"/>
        <v>14.683333333333334</v>
      </c>
      <c r="Q15" s="4">
        <f t="shared" si="5"/>
        <v>26.183333333333334</v>
      </c>
      <c r="R15" s="4">
        <f t="shared" si="6"/>
        <v>-12.183333333333334</v>
      </c>
      <c r="S15" s="2">
        <v>180</v>
      </c>
      <c r="T15" s="11">
        <f t="shared" si="0"/>
        <v>0.35714285714285715</v>
      </c>
    </row>
    <row r="17" spans="1:20" s="4" customFormat="1" x14ac:dyDescent="0.2">
      <c r="A17" s="5" t="s">
        <v>25</v>
      </c>
      <c r="C17" s="4">
        <f>SUM(C4:C15)</f>
        <v>395</v>
      </c>
      <c r="D17" s="4">
        <f>SUM(D4:D15)</f>
        <v>180</v>
      </c>
      <c r="E17" s="4">
        <f t="shared" ref="E17:F17" si="7">SUM(E4:E15)</f>
        <v>-119.5</v>
      </c>
      <c r="F17" s="4">
        <f t="shared" si="7"/>
        <v>-1330</v>
      </c>
      <c r="G17" s="4">
        <f>SUM(G4:G15)</f>
        <v>-124.62380952380953</v>
      </c>
      <c r="H17" s="4">
        <f>SUM(H4:H15)</f>
        <v>95.5</v>
      </c>
      <c r="I17" s="4">
        <f>SUM(I4:I15)</f>
        <v>590</v>
      </c>
      <c r="J17" s="4">
        <f>SUM(J4:J15)</f>
        <v>354.75</v>
      </c>
      <c r="K17" s="4">
        <f>SUM(K4:K15)</f>
        <v>40.25</v>
      </c>
      <c r="L17" s="4">
        <f>SUM(L4:L15)</f>
        <v>235.25</v>
      </c>
      <c r="M17" s="4">
        <f>SUM(M3:M15)</f>
        <v>-55.25</v>
      </c>
      <c r="N17" s="4">
        <f>SUM(N3:N15)</f>
        <v>90.376190476190487</v>
      </c>
      <c r="O17" s="4">
        <f>SUM(O3:O15)</f>
        <v>357.31190476190477</v>
      </c>
      <c r="P17" s="4">
        <f>SUM(P3:P15)</f>
        <v>37.688095238095229</v>
      </c>
      <c r="Q17" s="4">
        <f>SUM(Q3:Q15)</f>
        <v>232.68809523809526</v>
      </c>
      <c r="R17" s="4">
        <f>SUM(R3:R15)</f>
        <v>-52.688095238095244</v>
      </c>
    </row>
    <row r="18" spans="1:20" s="7" customFormat="1" x14ac:dyDescent="0.2">
      <c r="A18" s="6" t="s">
        <v>26</v>
      </c>
      <c r="C18" s="7">
        <f>AVERAGE(C4:C15)</f>
        <v>32.916666666666664</v>
      </c>
      <c r="D18" s="7">
        <f>AVERAGE(D4:D15)</f>
        <v>15</v>
      </c>
      <c r="E18" s="7">
        <f>AVERAGE(E4:E15)</f>
        <v>-9.9583333333333339</v>
      </c>
      <c r="F18" s="7">
        <f>AVERAGE(F4:F15)</f>
        <v>-110.83333333333333</v>
      </c>
      <c r="G18" s="4">
        <f>AVERAGE(G4:G15)</f>
        <v>-10.385317460317461</v>
      </c>
      <c r="H18" s="7">
        <f>AVERAGE(H4:H15)</f>
        <v>7.958333333333333</v>
      </c>
      <c r="I18" s="7">
        <f>AVERAGE(I4:I15)</f>
        <v>49.166666666666664</v>
      </c>
      <c r="J18" s="7">
        <f>AVERAGE(J4:J15)</f>
        <v>29.5625</v>
      </c>
      <c r="K18" s="7">
        <f>AVERAGE(K4:K15)</f>
        <v>3.3541666666666665</v>
      </c>
      <c r="L18" s="7">
        <f>AVERAGE(L4:L15)</f>
        <v>19.604166666666668</v>
      </c>
      <c r="M18" s="7">
        <f>AVERAGE(M4:M15)</f>
        <v>-4.604166666666667</v>
      </c>
      <c r="N18" s="7">
        <f>AVERAGE(N4:N15)</f>
        <v>7.5313492063492076</v>
      </c>
      <c r="O18" s="7">
        <f>AVERAGE(O4:O15)</f>
        <v>29.775992063492065</v>
      </c>
      <c r="P18" s="7">
        <f>AVERAGE(P4:P15)</f>
        <v>3.1406746031746025</v>
      </c>
      <c r="Q18" s="7">
        <f>AVERAGE(Q4:Q15)</f>
        <v>19.390674603174606</v>
      </c>
      <c r="R18" s="7">
        <f>AVERAGE(R4:R15)</f>
        <v>-4.3906746031746033</v>
      </c>
      <c r="S18" s="7">
        <f>AVERAGE(S4:S15)</f>
        <v>-2355.5833333333335</v>
      </c>
      <c r="T18" s="8">
        <f>AVERAGE(T4:T16)</f>
        <v>0.72486308910690622</v>
      </c>
    </row>
  </sheetData>
  <pageMargins left="0.7" right="0.7" top="0.75" bottom="0.75" header="0.3" footer="0.3"/>
  <pageSetup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E4C1-47EE-A141-8A74-17AA02CE43E8}">
  <sheetPr>
    <tabColor rgb="FFFFD441"/>
  </sheetPr>
  <dimension ref="A1:T18"/>
  <sheetViews>
    <sheetView zoomScale="57" zoomScaleNormal="100" workbookViewId="0">
      <selection activeCell="C18" sqref="C18:R18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6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193</v>
      </c>
      <c r="B1" s="1" t="s">
        <v>194</v>
      </c>
      <c r="C1" s="1" t="s">
        <v>153</v>
      </c>
      <c r="D1" s="1" t="s">
        <v>113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190</v>
      </c>
      <c r="C4" s="9">
        <v>31</v>
      </c>
      <c r="D4" s="9">
        <v>26</v>
      </c>
      <c r="E4" s="3">
        <v>-11.5</v>
      </c>
      <c r="F4" s="2">
        <v>-110</v>
      </c>
      <c r="G4" s="4">
        <f>E4*(F4/-105)</f>
        <v>-12.047619047619047</v>
      </c>
      <c r="H4" s="4">
        <f>(C4-D4) + E4</f>
        <v>-6.5</v>
      </c>
      <c r="I4" s="3">
        <v>55</v>
      </c>
      <c r="J4" s="4">
        <f>I4/2 - E4/2</f>
        <v>33.25</v>
      </c>
      <c r="K4" s="4">
        <f>C4-J4</f>
        <v>-2.25</v>
      </c>
      <c r="L4" s="4">
        <f>I4/2 + E4/2</f>
        <v>21.75</v>
      </c>
      <c r="M4" s="4">
        <f>D4-L4</f>
        <v>4.25</v>
      </c>
      <c r="N4" s="4">
        <f>(C4-D4) + G4</f>
        <v>-7.0476190476190474</v>
      </c>
      <c r="O4" s="4">
        <f>I4/2 - G4/2</f>
        <v>33.523809523809526</v>
      </c>
      <c r="P4" s="4">
        <f>C4-O4</f>
        <v>-2.5238095238095255</v>
      </c>
      <c r="Q4" s="4">
        <f>I4/2 + G4/2</f>
        <v>21.476190476190474</v>
      </c>
      <c r="R4" s="4">
        <f>D4-Q4</f>
        <v>4.5238095238095255</v>
      </c>
      <c r="S4" s="2">
        <v>-460</v>
      </c>
      <c r="T4" s="11">
        <f t="shared" ref="T4:T15" si="0">IF(S4&gt;0,100/(100+S4),ABS(S4)/(100+ABS(S4)))</f>
        <v>0.8214285714285714</v>
      </c>
    </row>
    <row r="5" spans="1:20" x14ac:dyDescent="0.2">
      <c r="A5" s="2">
        <v>2</v>
      </c>
      <c r="B5" s="2" t="s">
        <v>84</v>
      </c>
      <c r="C5" s="2">
        <v>10</v>
      </c>
      <c r="D5" s="2">
        <v>28</v>
      </c>
      <c r="E5" s="3">
        <v>6.5</v>
      </c>
      <c r="F5" s="2">
        <v>-109</v>
      </c>
      <c r="G5" s="4">
        <f t="shared" ref="G5:G15" si="1">E5*(F5/-105)</f>
        <v>6.7476190476190485</v>
      </c>
      <c r="H5" s="4">
        <f>(C5-D5) + E5</f>
        <v>-11.5</v>
      </c>
      <c r="I5" s="3">
        <v>55</v>
      </c>
      <c r="J5" s="4">
        <f>I5/2 - E5/2</f>
        <v>24.25</v>
      </c>
      <c r="K5" s="4">
        <f>C5-J5</f>
        <v>-14.25</v>
      </c>
      <c r="L5" s="4">
        <f>I5/2 + E5/2</f>
        <v>30.75</v>
      </c>
      <c r="M5" s="4">
        <f>D5-L5</f>
        <v>-2.75</v>
      </c>
      <c r="N5" s="4">
        <f t="shared" ref="N5:N15" si="2">(C5-D5) + G5</f>
        <v>-11.252380952380951</v>
      </c>
      <c r="O5" s="4">
        <f t="shared" ref="O5:O15" si="3">I5/2 - G5/2</f>
        <v>24.126190476190477</v>
      </c>
      <c r="P5" s="4">
        <f t="shared" ref="P5:P15" si="4">C5-O5</f>
        <v>-14.126190476190477</v>
      </c>
      <c r="Q5" s="4">
        <f t="shared" ref="Q5:Q15" si="5">I5/2 + G5/2</f>
        <v>30.873809523809523</v>
      </c>
      <c r="R5" s="4">
        <f t="shared" ref="R5:R15" si="6">D5-Q5</f>
        <v>-2.8738095238095234</v>
      </c>
      <c r="S5" s="2">
        <v>194</v>
      </c>
      <c r="T5" s="11">
        <f t="shared" si="0"/>
        <v>0.3401360544217687</v>
      </c>
    </row>
    <row r="6" spans="1:20" x14ac:dyDescent="0.2">
      <c r="A6" s="2">
        <v>3</v>
      </c>
      <c r="B6" s="2" t="s">
        <v>68</v>
      </c>
      <c r="C6" s="9">
        <v>28</v>
      </c>
      <c r="D6" s="9">
        <v>9</v>
      </c>
      <c r="E6" s="10">
        <v>-7.5</v>
      </c>
      <c r="F6" s="2">
        <v>-110</v>
      </c>
      <c r="G6" s="4">
        <f t="shared" si="1"/>
        <v>-7.8571428571428577</v>
      </c>
      <c r="H6" s="4">
        <f>(C6-D6) + E6</f>
        <v>11.5</v>
      </c>
      <c r="I6" s="3">
        <v>59</v>
      </c>
      <c r="J6" s="4">
        <f>I6/2 - E6/2</f>
        <v>33.25</v>
      </c>
      <c r="K6" s="4">
        <f>C6-J6</f>
        <v>-5.25</v>
      </c>
      <c r="L6" s="4">
        <f>I6/2 + E6/2</f>
        <v>25.75</v>
      </c>
      <c r="M6" s="4">
        <f>D6-L6</f>
        <v>-16.75</v>
      </c>
      <c r="N6" s="4">
        <f t="shared" si="2"/>
        <v>11.142857142857142</v>
      </c>
      <c r="O6" s="4">
        <f t="shared" si="3"/>
        <v>33.428571428571431</v>
      </c>
      <c r="P6" s="4">
        <f t="shared" si="4"/>
        <v>-5.4285714285714306</v>
      </c>
      <c r="Q6" s="4">
        <f t="shared" si="5"/>
        <v>25.571428571428569</v>
      </c>
      <c r="R6" s="4">
        <f t="shared" si="6"/>
        <v>-16.571428571428569</v>
      </c>
      <c r="S6" s="2">
        <v>-303</v>
      </c>
      <c r="T6" s="11">
        <f t="shared" si="0"/>
        <v>0.75186104218362282</v>
      </c>
    </row>
    <row r="7" spans="1:20" x14ac:dyDescent="0.2">
      <c r="A7" s="2">
        <v>4</v>
      </c>
      <c r="B7" s="2" t="s">
        <v>168</v>
      </c>
      <c r="C7" s="9">
        <v>38</v>
      </c>
      <c r="D7" s="9">
        <v>31</v>
      </c>
      <c r="E7" s="10">
        <v>-2.5</v>
      </c>
      <c r="F7" s="2">
        <v>-113</v>
      </c>
      <c r="G7" s="4">
        <f t="shared" si="1"/>
        <v>-2.6904761904761902</v>
      </c>
      <c r="H7" s="4">
        <f>(C7-D7) + E7</f>
        <v>4.5</v>
      </c>
      <c r="I7" s="3">
        <v>52.5</v>
      </c>
      <c r="J7" s="4">
        <f>I7/2 - E7/2</f>
        <v>27.5</v>
      </c>
      <c r="K7" s="4">
        <f>C7-J7</f>
        <v>10.5</v>
      </c>
      <c r="L7" s="4">
        <f>I7/2 + E7/2</f>
        <v>25</v>
      </c>
      <c r="M7" s="4">
        <f>D7-L7</f>
        <v>6</v>
      </c>
      <c r="N7" s="4">
        <f t="shared" si="2"/>
        <v>4.3095238095238102</v>
      </c>
      <c r="O7" s="4">
        <f t="shared" si="3"/>
        <v>27.595238095238095</v>
      </c>
      <c r="P7" s="4">
        <f t="shared" si="4"/>
        <v>10.404761904761905</v>
      </c>
      <c r="Q7" s="4">
        <f t="shared" si="5"/>
        <v>24.904761904761905</v>
      </c>
      <c r="R7" s="4">
        <f t="shared" si="6"/>
        <v>6.0952380952380949</v>
      </c>
      <c r="S7" s="2">
        <v>-135</v>
      </c>
      <c r="T7" s="11">
        <f t="shared" si="0"/>
        <v>0.57446808510638303</v>
      </c>
    </row>
    <row r="8" spans="1:20" x14ac:dyDescent="0.2">
      <c r="A8" s="2">
        <v>5</v>
      </c>
      <c r="B8" s="2" t="s">
        <v>120</v>
      </c>
      <c r="C8" s="9">
        <v>48</v>
      </c>
      <c r="D8" s="9">
        <v>21</v>
      </c>
      <c r="E8" s="10">
        <v>13</v>
      </c>
      <c r="F8" s="2">
        <v>-110</v>
      </c>
      <c r="G8" s="4">
        <f t="shared" si="1"/>
        <v>13.61904761904762</v>
      </c>
      <c r="H8" s="4">
        <f>(C8-D8) + E8</f>
        <v>40</v>
      </c>
      <c r="I8" s="3">
        <v>61</v>
      </c>
      <c r="J8" s="4">
        <f>I8/2 - E8/2</f>
        <v>24</v>
      </c>
      <c r="K8" s="4">
        <f>C8-J8</f>
        <v>24</v>
      </c>
      <c r="L8" s="4">
        <f>I8/2 + E8/2</f>
        <v>37</v>
      </c>
      <c r="M8" s="4">
        <f>D8-L8</f>
        <v>-16</v>
      </c>
      <c r="N8" s="4">
        <f t="shared" si="2"/>
        <v>40.61904761904762</v>
      </c>
      <c r="O8" s="4">
        <f t="shared" si="3"/>
        <v>23.69047619047619</v>
      </c>
      <c r="P8" s="4">
        <f t="shared" si="4"/>
        <v>24.30952380952381</v>
      </c>
      <c r="Q8" s="4">
        <f t="shared" si="5"/>
        <v>37.30952380952381</v>
      </c>
      <c r="R8" s="4">
        <f t="shared" si="6"/>
        <v>-16.30952380952381</v>
      </c>
      <c r="S8" s="2">
        <v>365</v>
      </c>
      <c r="T8" s="11">
        <f t="shared" si="0"/>
        <v>0.21505376344086022</v>
      </c>
    </row>
    <row r="9" spans="1:20" x14ac:dyDescent="0.2">
      <c r="A9" s="2">
        <v>6</v>
      </c>
      <c r="B9" s="2" t="s">
        <v>121</v>
      </c>
      <c r="C9" s="2">
        <v>28</v>
      </c>
      <c r="D9" s="2">
        <v>31</v>
      </c>
      <c r="E9" s="10">
        <v>3.5</v>
      </c>
      <c r="F9" s="2">
        <v>109</v>
      </c>
      <c r="G9" s="4">
        <f t="shared" si="1"/>
        <v>-3.6333333333333337</v>
      </c>
      <c r="H9" s="4">
        <f>(C9-D9) + E9</f>
        <v>0.5</v>
      </c>
      <c r="I9" s="3">
        <v>55.5</v>
      </c>
      <c r="J9" s="4">
        <f>I9/2 - E9/2</f>
        <v>26</v>
      </c>
      <c r="K9" s="4">
        <f>C9-J9</f>
        <v>2</v>
      </c>
      <c r="L9" s="4">
        <f>I9/2 + E9/2</f>
        <v>29.5</v>
      </c>
      <c r="M9" s="4">
        <f>D9-L9</f>
        <v>1.5</v>
      </c>
      <c r="N9" s="4">
        <f t="shared" si="2"/>
        <v>-6.6333333333333337</v>
      </c>
      <c r="O9" s="4">
        <f t="shared" si="3"/>
        <v>29.566666666666666</v>
      </c>
      <c r="P9" s="4">
        <f t="shared" si="4"/>
        <v>-1.5666666666666664</v>
      </c>
      <c r="Q9" s="4">
        <f t="shared" si="5"/>
        <v>25.933333333333334</v>
      </c>
      <c r="R9" s="4">
        <f t="shared" si="6"/>
        <v>5.0666666666666664</v>
      </c>
      <c r="S9" s="2">
        <v>136</v>
      </c>
      <c r="T9" s="11">
        <f t="shared" si="0"/>
        <v>0.42372881355932202</v>
      </c>
    </row>
    <row r="10" spans="1:20" x14ac:dyDescent="0.2">
      <c r="A10" s="2">
        <v>7</v>
      </c>
      <c r="B10" s="2" t="s">
        <v>123</v>
      </c>
      <c r="C10" s="9">
        <v>34</v>
      </c>
      <c r="D10" s="9">
        <v>7</v>
      </c>
      <c r="E10" s="10">
        <v>2.5</v>
      </c>
      <c r="F10" s="2">
        <v>-111</v>
      </c>
      <c r="G10" s="4">
        <f t="shared" si="1"/>
        <v>2.6428571428571428</v>
      </c>
      <c r="H10" s="4">
        <f>(C10-D10) + E10</f>
        <v>29.5</v>
      </c>
      <c r="I10" s="3">
        <v>57.5</v>
      </c>
      <c r="J10" s="4">
        <f>I10/2 - E10/2</f>
        <v>27.5</v>
      </c>
      <c r="K10" s="4">
        <f>C10-J10</f>
        <v>6.5</v>
      </c>
      <c r="L10" s="4">
        <f>I10/2 + E10/2</f>
        <v>30</v>
      </c>
      <c r="M10" s="4">
        <f>D10-L10</f>
        <v>-23</v>
      </c>
      <c r="N10" s="4">
        <f t="shared" si="2"/>
        <v>29.642857142857142</v>
      </c>
      <c r="O10" s="4">
        <f t="shared" si="3"/>
        <v>27.428571428571427</v>
      </c>
      <c r="P10" s="4">
        <f t="shared" si="4"/>
        <v>6.571428571428573</v>
      </c>
      <c r="Q10" s="4">
        <f t="shared" si="5"/>
        <v>30.071428571428573</v>
      </c>
      <c r="R10" s="4">
        <f t="shared" si="6"/>
        <v>-23.071428571428573</v>
      </c>
      <c r="S10" s="2">
        <v>110</v>
      </c>
      <c r="T10" s="11">
        <f t="shared" si="0"/>
        <v>0.47619047619047616</v>
      </c>
    </row>
    <row r="11" spans="1:20" x14ac:dyDescent="0.2">
      <c r="A11" s="2">
        <v>8</v>
      </c>
      <c r="B11" s="2" t="s">
        <v>118</v>
      </c>
      <c r="C11" s="9">
        <v>34</v>
      </c>
      <c r="D11" s="9">
        <v>23</v>
      </c>
      <c r="E11" s="10">
        <v>-6</v>
      </c>
      <c r="F11" s="2">
        <v>-110</v>
      </c>
      <c r="G11" s="4">
        <f t="shared" si="1"/>
        <v>-6.2857142857142865</v>
      </c>
      <c r="H11" s="4">
        <f>(C11-D11) + E11</f>
        <v>5</v>
      </c>
      <c r="I11" s="3">
        <v>57</v>
      </c>
      <c r="J11" s="4">
        <f>I11/2 - E11/2</f>
        <v>31.5</v>
      </c>
      <c r="K11" s="4">
        <f>C11-J11</f>
        <v>2.5</v>
      </c>
      <c r="L11" s="4">
        <f>I11/2 + E11/2</f>
        <v>25.5</v>
      </c>
      <c r="M11" s="4">
        <f>D11-L11</f>
        <v>-2.5</v>
      </c>
      <c r="N11" s="4">
        <f t="shared" si="2"/>
        <v>4.7142857142857135</v>
      </c>
      <c r="O11" s="4">
        <f t="shared" si="3"/>
        <v>31.642857142857142</v>
      </c>
      <c r="P11" s="4">
        <f t="shared" si="4"/>
        <v>2.3571428571428577</v>
      </c>
      <c r="Q11" s="4">
        <f t="shared" si="5"/>
        <v>25.357142857142858</v>
      </c>
      <c r="R11" s="4">
        <f t="shared" si="6"/>
        <v>-2.3571428571428577</v>
      </c>
      <c r="S11" s="2">
        <v>-220</v>
      </c>
      <c r="T11" s="11">
        <f t="shared" si="0"/>
        <v>0.6875</v>
      </c>
    </row>
    <row r="12" spans="1:20" x14ac:dyDescent="0.2">
      <c r="A12" s="2">
        <v>9</v>
      </c>
      <c r="B12" s="2" t="s">
        <v>115</v>
      </c>
      <c r="C12" s="9">
        <v>41</v>
      </c>
      <c r="D12" s="9">
        <v>27</v>
      </c>
      <c r="E12" s="10">
        <v>-4.5</v>
      </c>
      <c r="F12" s="2">
        <v>-111</v>
      </c>
      <c r="G12" s="4">
        <f t="shared" si="1"/>
        <v>-4.7571428571428571</v>
      </c>
      <c r="H12" s="4">
        <f>(C12-D12) + E12</f>
        <v>9.5</v>
      </c>
      <c r="I12" s="3">
        <v>62.5</v>
      </c>
      <c r="J12" s="4">
        <f>I12/2 - E12/2</f>
        <v>33.5</v>
      </c>
      <c r="K12" s="4">
        <f>C12-J12</f>
        <v>7.5</v>
      </c>
      <c r="L12" s="4">
        <f>I12/2 + E12/2</f>
        <v>29</v>
      </c>
      <c r="M12" s="4">
        <f>D12-L12</f>
        <v>-2</v>
      </c>
      <c r="N12" s="4">
        <f t="shared" si="2"/>
        <v>9.2428571428571438</v>
      </c>
      <c r="O12" s="4">
        <f t="shared" si="3"/>
        <v>33.628571428571426</v>
      </c>
      <c r="P12" s="4">
        <f t="shared" si="4"/>
        <v>7.3714285714285737</v>
      </c>
      <c r="Q12" s="4">
        <f t="shared" si="5"/>
        <v>28.87142857142857</v>
      </c>
      <c r="R12" s="4">
        <f t="shared" si="6"/>
        <v>-1.8714285714285701</v>
      </c>
      <c r="S12" s="2">
        <v>-196</v>
      </c>
      <c r="T12" s="11">
        <f t="shared" si="0"/>
        <v>0.66216216216216217</v>
      </c>
    </row>
    <row r="13" spans="1:20" x14ac:dyDescent="0.2">
      <c r="A13" s="2">
        <v>10</v>
      </c>
      <c r="B13" s="2" t="s">
        <v>117</v>
      </c>
      <c r="C13" s="9">
        <v>49</v>
      </c>
      <c r="D13" s="9">
        <v>24</v>
      </c>
      <c r="E13" s="10">
        <v>-13.5</v>
      </c>
      <c r="F13" s="2">
        <v>-113</v>
      </c>
      <c r="G13" s="4">
        <f t="shared" si="1"/>
        <v>-14.528571428571428</v>
      </c>
      <c r="H13" s="4">
        <f>(C13-D13) + E13</f>
        <v>11.5</v>
      </c>
      <c r="I13" s="3">
        <v>43.5</v>
      </c>
      <c r="J13" s="4">
        <f>I13/2 - E13/2</f>
        <v>28.5</v>
      </c>
      <c r="K13" s="4">
        <f>C13-J13</f>
        <v>20.5</v>
      </c>
      <c r="L13" s="4">
        <f>I13/2 + E13/2</f>
        <v>15</v>
      </c>
      <c r="M13" s="4">
        <f>D13-L13</f>
        <v>9</v>
      </c>
      <c r="N13" s="4">
        <f t="shared" si="2"/>
        <v>10.471428571428572</v>
      </c>
      <c r="O13" s="4">
        <f t="shared" si="3"/>
        <v>29.014285714285712</v>
      </c>
      <c r="P13" s="4">
        <f t="shared" si="4"/>
        <v>19.985714285714288</v>
      </c>
      <c r="Q13" s="4">
        <f t="shared" si="5"/>
        <v>14.485714285714286</v>
      </c>
      <c r="R13" s="4">
        <f t="shared" si="6"/>
        <v>9.5142857142857142</v>
      </c>
      <c r="S13" s="2">
        <v>-576</v>
      </c>
      <c r="T13" s="11">
        <f t="shared" si="0"/>
        <v>0.85207100591715978</v>
      </c>
    </row>
    <row r="14" spans="1:20" x14ac:dyDescent="0.2">
      <c r="A14" s="2">
        <v>11</v>
      </c>
      <c r="B14" s="2" t="s">
        <v>116</v>
      </c>
      <c r="C14" s="2">
        <v>21</v>
      </c>
      <c r="D14" s="2">
        <v>37</v>
      </c>
      <c r="E14" s="3">
        <v>-1.5</v>
      </c>
      <c r="F14" s="2">
        <v>-112</v>
      </c>
      <c r="G14" s="4">
        <f t="shared" si="1"/>
        <v>-1.6</v>
      </c>
      <c r="H14" s="4">
        <f>(C14-D14) + E14</f>
        <v>-17.5</v>
      </c>
      <c r="I14" s="3">
        <v>59.5</v>
      </c>
      <c r="J14" s="4">
        <f>I14/2 - E14/2</f>
        <v>30.5</v>
      </c>
      <c r="K14" s="4">
        <f>C14-J14</f>
        <v>-9.5</v>
      </c>
      <c r="L14" s="4">
        <f>I14/2 + E14/2</f>
        <v>29</v>
      </c>
      <c r="M14" s="4">
        <f>D14-L14</f>
        <v>8</v>
      </c>
      <c r="N14" s="4">
        <f t="shared" si="2"/>
        <v>-17.600000000000001</v>
      </c>
      <c r="O14" s="4">
        <f t="shared" si="3"/>
        <v>30.55</v>
      </c>
      <c r="P14" s="4">
        <f t="shared" si="4"/>
        <v>-9.5500000000000007</v>
      </c>
      <c r="Q14" s="4">
        <f t="shared" si="5"/>
        <v>28.95</v>
      </c>
      <c r="R14" s="4">
        <f t="shared" si="6"/>
        <v>8.0500000000000007</v>
      </c>
      <c r="S14" s="2">
        <v>-128</v>
      </c>
      <c r="T14" s="11">
        <f t="shared" si="0"/>
        <v>0.56140350877192979</v>
      </c>
    </row>
    <row r="15" spans="1:20" x14ac:dyDescent="0.2">
      <c r="A15" s="2">
        <v>12</v>
      </c>
      <c r="B15" s="2" t="s">
        <v>119</v>
      </c>
      <c r="C15" s="9">
        <v>52</v>
      </c>
      <c r="D15" s="9">
        <v>0</v>
      </c>
      <c r="E15" s="10">
        <v>-14.5</v>
      </c>
      <c r="F15" s="2">
        <v>-107</v>
      </c>
      <c r="G15" s="4">
        <f t="shared" si="1"/>
        <v>-14.776190476190475</v>
      </c>
      <c r="H15" s="4">
        <f>(C15-D15) + E15</f>
        <v>37.5</v>
      </c>
      <c r="I15" s="3">
        <v>67.5</v>
      </c>
      <c r="J15" s="4">
        <f>I15/2 - E15/2</f>
        <v>41</v>
      </c>
      <c r="K15" s="4">
        <f>C15-J15</f>
        <v>11</v>
      </c>
      <c r="L15" s="4">
        <f>I15/2 + E15/2</f>
        <v>26.5</v>
      </c>
      <c r="M15" s="4">
        <f>D15-L15</f>
        <v>-26.5</v>
      </c>
      <c r="N15" s="4">
        <f t="shared" si="2"/>
        <v>37.223809523809521</v>
      </c>
      <c r="O15" s="4">
        <f t="shared" si="3"/>
        <v>41.138095238095239</v>
      </c>
      <c r="P15" s="4">
        <f t="shared" si="4"/>
        <v>10.861904761904761</v>
      </c>
      <c r="Q15" s="4">
        <f t="shared" si="5"/>
        <v>26.361904761904761</v>
      </c>
      <c r="R15" s="4">
        <f t="shared" si="6"/>
        <v>-26.361904761904761</v>
      </c>
      <c r="S15" s="2">
        <v>-785</v>
      </c>
      <c r="T15" s="11">
        <f t="shared" si="0"/>
        <v>0.88700564971751417</v>
      </c>
    </row>
    <row r="17" spans="1:20" s="4" customFormat="1" x14ac:dyDescent="0.2">
      <c r="A17" s="5" t="s">
        <v>25</v>
      </c>
      <c r="C17" s="4">
        <f>SUM(C4:C15)</f>
        <v>414</v>
      </c>
      <c r="D17" s="4">
        <f>SUM(D4:D15)</f>
        <v>264</v>
      </c>
      <c r="E17" s="4">
        <f t="shared" ref="E17:F17" si="7">SUM(E4:E15)</f>
        <v>-36</v>
      </c>
      <c r="F17" s="4">
        <f t="shared" si="7"/>
        <v>-1107</v>
      </c>
      <c r="G17" s="4">
        <f>SUM(G4:G15)</f>
        <v>-45.166666666666664</v>
      </c>
      <c r="H17" s="4">
        <f>SUM(H4:H15)</f>
        <v>114</v>
      </c>
      <c r="I17" s="4">
        <f>SUM(I4:I15)</f>
        <v>685.5</v>
      </c>
      <c r="J17" s="4">
        <f>SUM(J4:J15)</f>
        <v>360.75</v>
      </c>
      <c r="K17" s="4">
        <f>SUM(K4:K15)</f>
        <v>53.25</v>
      </c>
      <c r="L17" s="4">
        <f>SUM(L4:L15)</f>
        <v>324.75</v>
      </c>
      <c r="M17" s="4">
        <f>SUM(M3:M15)</f>
        <v>-60.75</v>
      </c>
      <c r="N17" s="4">
        <f>SUM(N3:N15)</f>
        <v>104.83333333333333</v>
      </c>
      <c r="O17" s="4">
        <f>SUM(O3:O15)</f>
        <v>365.33333333333331</v>
      </c>
      <c r="P17" s="4">
        <f>SUM(P3:P15)</f>
        <v>48.666666666666664</v>
      </c>
      <c r="Q17" s="4">
        <f>SUM(Q3:Q15)</f>
        <v>320.16666666666669</v>
      </c>
      <c r="R17" s="4">
        <f>SUM(R3:R15)</f>
        <v>-56.166666666666671</v>
      </c>
    </row>
    <row r="18" spans="1:20" s="7" customFormat="1" x14ac:dyDescent="0.2">
      <c r="A18" s="6" t="s">
        <v>26</v>
      </c>
      <c r="C18" s="7">
        <f>AVERAGE(C4:C15)</f>
        <v>34.5</v>
      </c>
      <c r="D18" s="7">
        <f>AVERAGE(D4:D15)</f>
        <v>22</v>
      </c>
      <c r="E18" s="7">
        <f>AVERAGE(E4:E15)</f>
        <v>-3</v>
      </c>
      <c r="F18" s="7">
        <f>AVERAGE(F4:F15)</f>
        <v>-92.25</v>
      </c>
      <c r="G18" s="4">
        <f>AVERAGE(G4:G15)</f>
        <v>-3.7638888888888888</v>
      </c>
      <c r="H18" s="7">
        <f>AVERAGE(H4:H15)</f>
        <v>9.5</v>
      </c>
      <c r="I18" s="7">
        <f>AVERAGE(I4:I15)</f>
        <v>57.125</v>
      </c>
      <c r="J18" s="7">
        <f>AVERAGE(J4:J15)</f>
        <v>30.0625</v>
      </c>
      <c r="K18" s="7">
        <f>AVERAGE(K4:K15)</f>
        <v>4.4375</v>
      </c>
      <c r="L18" s="7">
        <f>AVERAGE(L4:L15)</f>
        <v>27.0625</v>
      </c>
      <c r="M18" s="7">
        <f>AVERAGE(M4:M15)</f>
        <v>-5.0625</v>
      </c>
      <c r="N18" s="7">
        <f>AVERAGE(N4:N15)</f>
        <v>8.7361111111111107</v>
      </c>
      <c r="O18" s="7">
        <f>AVERAGE(O4:O15)</f>
        <v>30.444444444444443</v>
      </c>
      <c r="P18" s="7">
        <f>AVERAGE(P4:P15)</f>
        <v>4.0555555555555554</v>
      </c>
      <c r="Q18" s="7">
        <f>AVERAGE(Q4:Q15)</f>
        <v>26.680555555555557</v>
      </c>
      <c r="R18" s="7">
        <f>AVERAGE(R4:R15)</f>
        <v>-4.6805555555555562</v>
      </c>
      <c r="S18" s="7">
        <f>AVERAGE(S4:S15)</f>
        <v>-166.5</v>
      </c>
      <c r="T18" s="8">
        <f>AVERAGE(T4:T16)</f>
        <v>0.60441742774164753</v>
      </c>
    </row>
  </sheetData>
  <pageMargins left="0.7" right="0.7" top="0.75" bottom="0.75" header="0.3" footer="0.3"/>
  <pageSetup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CB62-50E2-7B44-9809-062D04669BA0}">
  <sheetPr>
    <tabColor theme="5"/>
  </sheetPr>
  <dimension ref="A1:T18"/>
  <sheetViews>
    <sheetView zoomScale="57" zoomScaleNormal="100" workbookViewId="0">
      <selection activeCell="C18" sqref="C18:R18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6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191</v>
      </c>
      <c r="B1" s="1" t="s">
        <v>192</v>
      </c>
      <c r="C1" s="1" t="s">
        <v>153</v>
      </c>
      <c r="D1" s="1" t="s">
        <v>76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195</v>
      </c>
      <c r="C4" s="9">
        <v>45</v>
      </c>
      <c r="D4" s="9">
        <v>0</v>
      </c>
      <c r="E4" s="3">
        <v>-28.5</v>
      </c>
      <c r="F4" s="2">
        <v>-109</v>
      </c>
      <c r="G4" s="4">
        <f>E4*(F4/-105)</f>
        <v>-29.585714285714289</v>
      </c>
      <c r="H4" s="4">
        <f>(C4-D4) + E4</f>
        <v>16.5</v>
      </c>
      <c r="I4" s="3">
        <v>50.5</v>
      </c>
      <c r="J4" s="4">
        <f>I4/2 - E4/2</f>
        <v>39.5</v>
      </c>
      <c r="K4" s="4">
        <f>C4-J4</f>
        <v>5.5</v>
      </c>
      <c r="L4" s="4">
        <f>I4/2 + E4/2</f>
        <v>11</v>
      </c>
      <c r="M4" s="4">
        <f>D4-L4</f>
        <v>-11</v>
      </c>
      <c r="N4" s="4">
        <f>(C4-D4) + G4</f>
        <v>15.414285714285711</v>
      </c>
      <c r="O4" s="4">
        <f>I4/2 - G4/2</f>
        <v>40.042857142857144</v>
      </c>
      <c r="P4" s="4">
        <f>C4-O4</f>
        <v>4.9571428571428555</v>
      </c>
      <c r="Q4" s="4">
        <f>I4/2 + G4/2</f>
        <v>10.457142857142856</v>
      </c>
      <c r="R4" s="4">
        <f>D4-Q4</f>
        <v>-10.457142857142856</v>
      </c>
      <c r="S4" s="2">
        <v>-5914</v>
      </c>
      <c r="T4" s="11">
        <f t="shared" ref="T4:T15" si="0">IF(S4&gt;0,100/(100+S4),ABS(S4)/(100+ABS(S4)))</f>
        <v>0.98337213169271698</v>
      </c>
    </row>
    <row r="5" spans="1:20" x14ac:dyDescent="0.2">
      <c r="A5" s="2">
        <v>2</v>
      </c>
      <c r="B5" s="2" t="s">
        <v>116</v>
      </c>
      <c r="C5" s="9">
        <v>23</v>
      </c>
      <c r="D5" s="9">
        <v>17</v>
      </c>
      <c r="E5" s="10">
        <v>5.5</v>
      </c>
      <c r="F5" s="2">
        <v>-110</v>
      </c>
      <c r="G5" s="4">
        <f t="shared" ref="G5:G15" si="1">E5*(F5/-105)</f>
        <v>5.7619047619047619</v>
      </c>
      <c r="H5" s="4">
        <f>(C5-D5) + E5</f>
        <v>11.5</v>
      </c>
      <c r="I5" s="3">
        <v>58.5</v>
      </c>
      <c r="J5" s="4">
        <f>I5/2 - E5/2</f>
        <v>26.5</v>
      </c>
      <c r="K5" s="4">
        <f>C5-J5</f>
        <v>-3.5</v>
      </c>
      <c r="L5" s="4">
        <f>I5/2 + E5/2</f>
        <v>32</v>
      </c>
      <c r="M5" s="4">
        <f>D5-L5</f>
        <v>-15</v>
      </c>
      <c r="N5" s="4">
        <f t="shared" ref="N5:N15" si="2">(C5-D5) + G5</f>
        <v>11.761904761904763</v>
      </c>
      <c r="O5" s="4">
        <f t="shared" ref="O5:O15" si="3">I5/2 - G5/2</f>
        <v>26.36904761904762</v>
      </c>
      <c r="P5" s="4">
        <f t="shared" ref="P5:P15" si="4">C5-O5</f>
        <v>-3.3690476190476204</v>
      </c>
      <c r="Q5" s="4">
        <f t="shared" ref="Q5:Q15" si="5">I5/2 + G5/2</f>
        <v>32.13095238095238</v>
      </c>
      <c r="R5" s="4">
        <f t="shared" ref="R5:R15" si="6">D5-Q5</f>
        <v>-15.13095238095238</v>
      </c>
      <c r="S5" s="2">
        <v>171</v>
      </c>
      <c r="T5" s="11">
        <f t="shared" si="0"/>
        <v>0.36900369003690037</v>
      </c>
    </row>
    <row r="6" spans="1:20" x14ac:dyDescent="0.2">
      <c r="A6" s="2">
        <v>3</v>
      </c>
      <c r="B6" s="2" t="s">
        <v>196</v>
      </c>
      <c r="C6" s="9">
        <v>30</v>
      </c>
      <c r="D6" s="9">
        <v>9</v>
      </c>
      <c r="E6" s="3">
        <v>-21.5</v>
      </c>
      <c r="F6" s="2">
        <v>-108</v>
      </c>
      <c r="G6" s="4">
        <f t="shared" si="1"/>
        <v>-22.114285714285714</v>
      </c>
      <c r="H6" s="4">
        <f>(C6-D6) + E6</f>
        <v>-0.5</v>
      </c>
      <c r="I6" s="3">
        <v>50</v>
      </c>
      <c r="J6" s="4">
        <f>I6/2 - E6/2</f>
        <v>35.75</v>
      </c>
      <c r="K6" s="4">
        <f>C6-J6</f>
        <v>-5.75</v>
      </c>
      <c r="L6" s="4">
        <f>I6/2 + E6/2</f>
        <v>14.25</v>
      </c>
      <c r="M6" s="4">
        <f>D6-L6</f>
        <v>-5.25</v>
      </c>
      <c r="N6" s="4">
        <f t="shared" si="2"/>
        <v>-1.1142857142857139</v>
      </c>
      <c r="O6" s="4">
        <f t="shared" si="3"/>
        <v>36.057142857142857</v>
      </c>
      <c r="P6" s="4">
        <f t="shared" si="4"/>
        <v>-6.0571428571428569</v>
      </c>
      <c r="Q6" s="4">
        <f t="shared" si="5"/>
        <v>13.942857142857143</v>
      </c>
      <c r="R6" s="4">
        <f t="shared" si="6"/>
        <v>-4.9428571428571431</v>
      </c>
      <c r="S6" s="2">
        <v>-1812</v>
      </c>
      <c r="T6" s="11">
        <f t="shared" si="0"/>
        <v>0.94769874476987448</v>
      </c>
    </row>
    <row r="7" spans="1:20" x14ac:dyDescent="0.2">
      <c r="A7" s="2">
        <v>4</v>
      </c>
      <c r="B7" s="2" t="s">
        <v>84</v>
      </c>
      <c r="C7" s="9">
        <v>31</v>
      </c>
      <c r="D7" s="9">
        <v>24</v>
      </c>
      <c r="E7" s="10">
        <v>9.5</v>
      </c>
      <c r="F7" s="2">
        <v>-110</v>
      </c>
      <c r="G7" s="4">
        <f t="shared" si="1"/>
        <v>9.9523809523809526</v>
      </c>
      <c r="H7" s="4">
        <f>(C7-D7) + E7</f>
        <v>16.5</v>
      </c>
      <c r="I7" s="3">
        <v>42.5</v>
      </c>
      <c r="J7" s="4">
        <f>I7/2 - E7/2</f>
        <v>16.5</v>
      </c>
      <c r="K7" s="4">
        <f>C7-J7</f>
        <v>14.5</v>
      </c>
      <c r="L7" s="4">
        <f>I7/2 + E7/2</f>
        <v>26</v>
      </c>
      <c r="M7" s="4">
        <f>D7-L7</f>
        <v>-2</v>
      </c>
      <c r="N7" s="4">
        <f t="shared" si="2"/>
        <v>16.952380952380953</v>
      </c>
      <c r="O7" s="4">
        <f t="shared" si="3"/>
        <v>16.273809523809526</v>
      </c>
      <c r="P7" s="4">
        <f t="shared" si="4"/>
        <v>14.726190476190474</v>
      </c>
      <c r="Q7" s="4">
        <f t="shared" si="5"/>
        <v>26.226190476190474</v>
      </c>
      <c r="R7" s="4">
        <f t="shared" si="6"/>
        <v>-2.2261904761904745</v>
      </c>
      <c r="S7" s="2">
        <v>289</v>
      </c>
      <c r="T7" s="11">
        <f t="shared" si="0"/>
        <v>0.25706940874035988</v>
      </c>
    </row>
    <row r="8" spans="1:20" x14ac:dyDescent="0.2">
      <c r="A8" s="2">
        <v>5</v>
      </c>
      <c r="B8" s="2" t="s">
        <v>37</v>
      </c>
      <c r="C8" s="2">
        <v>7</v>
      </c>
      <c r="D8" s="2">
        <v>21</v>
      </c>
      <c r="E8" s="10">
        <v>19.5</v>
      </c>
      <c r="F8" s="2">
        <v>-111</v>
      </c>
      <c r="G8" s="4">
        <f t="shared" si="1"/>
        <v>20.614285714285714</v>
      </c>
      <c r="H8" s="4">
        <f>(C8-D8) + E8</f>
        <v>5.5</v>
      </c>
      <c r="I8" s="3">
        <v>48.5</v>
      </c>
      <c r="J8" s="4">
        <f>I8/2 - E8/2</f>
        <v>14.5</v>
      </c>
      <c r="K8" s="4">
        <f>C8-J8</f>
        <v>-7.5</v>
      </c>
      <c r="L8" s="4">
        <f>I8/2 + E8/2</f>
        <v>34</v>
      </c>
      <c r="M8" s="4">
        <f>D8-L8</f>
        <v>-13</v>
      </c>
      <c r="N8" s="4">
        <f t="shared" si="2"/>
        <v>6.6142857142857139</v>
      </c>
      <c r="O8" s="4">
        <f t="shared" si="3"/>
        <v>13.942857142857143</v>
      </c>
      <c r="P8" s="4">
        <f t="shared" si="4"/>
        <v>-6.9428571428571431</v>
      </c>
      <c r="Q8" s="4">
        <f t="shared" si="5"/>
        <v>34.557142857142857</v>
      </c>
      <c r="R8" s="4">
        <f t="shared" si="6"/>
        <v>-13.557142857142857</v>
      </c>
      <c r="S8" s="2">
        <v>691</v>
      </c>
      <c r="T8" s="11">
        <f t="shared" si="0"/>
        <v>0.12642225031605561</v>
      </c>
    </row>
    <row r="9" spans="1:20" x14ac:dyDescent="0.2">
      <c r="A9" s="2">
        <v>6</v>
      </c>
      <c r="B9" s="2" t="s">
        <v>21</v>
      </c>
      <c r="C9" s="9">
        <v>50</v>
      </c>
      <c r="D9" s="9">
        <v>49</v>
      </c>
      <c r="E9" s="3">
        <v>-22.5</v>
      </c>
      <c r="F9" s="2">
        <v>-112</v>
      </c>
      <c r="G9" s="4">
        <f t="shared" si="1"/>
        <v>-24</v>
      </c>
      <c r="H9" s="4">
        <f>(C9-D9) + E9</f>
        <v>-21.5</v>
      </c>
      <c r="I9" s="3">
        <v>47.5</v>
      </c>
      <c r="J9" s="4">
        <f>I9/2 - E9/2</f>
        <v>35</v>
      </c>
      <c r="K9" s="4">
        <f>C9-J9</f>
        <v>15</v>
      </c>
      <c r="L9" s="4">
        <f>I9/2 + E9/2</f>
        <v>12.5</v>
      </c>
      <c r="M9" s="4">
        <f>D9-L9</f>
        <v>36.5</v>
      </c>
      <c r="N9" s="4">
        <f t="shared" si="2"/>
        <v>-23</v>
      </c>
      <c r="O9" s="4">
        <f t="shared" si="3"/>
        <v>35.75</v>
      </c>
      <c r="P9" s="4">
        <f t="shared" si="4"/>
        <v>14.25</v>
      </c>
      <c r="Q9" s="4">
        <f t="shared" si="5"/>
        <v>11.75</v>
      </c>
      <c r="R9" s="4">
        <f t="shared" si="6"/>
        <v>37.25</v>
      </c>
      <c r="S9" s="2">
        <v>-2369</v>
      </c>
      <c r="T9" s="11">
        <f t="shared" si="0"/>
        <v>0.9594977723774808</v>
      </c>
    </row>
    <row r="10" spans="1:20" x14ac:dyDescent="0.2">
      <c r="A10" s="2">
        <v>7</v>
      </c>
      <c r="B10" s="2" t="s">
        <v>36</v>
      </c>
      <c r="C10" s="9">
        <v>21</v>
      </c>
      <c r="D10" s="9">
        <v>7</v>
      </c>
      <c r="E10" s="10">
        <v>6</v>
      </c>
      <c r="F10" s="2">
        <v>-110</v>
      </c>
      <c r="G10" s="4">
        <f t="shared" si="1"/>
        <v>6.2857142857142865</v>
      </c>
      <c r="H10" s="4">
        <f>(C10-D10) + E10</f>
        <v>20</v>
      </c>
      <c r="I10" s="3">
        <v>44</v>
      </c>
      <c r="J10" s="4">
        <f>I10/2 - E10/2</f>
        <v>19</v>
      </c>
      <c r="K10" s="4">
        <f>C10-J10</f>
        <v>2</v>
      </c>
      <c r="L10" s="4">
        <f>I10/2 + E10/2</f>
        <v>25</v>
      </c>
      <c r="M10" s="4">
        <f>D10-L10</f>
        <v>-18</v>
      </c>
      <c r="N10" s="4">
        <f t="shared" si="2"/>
        <v>20.285714285714285</v>
      </c>
      <c r="O10" s="4">
        <f t="shared" si="3"/>
        <v>18.857142857142858</v>
      </c>
      <c r="P10" s="4">
        <f t="shared" si="4"/>
        <v>2.1428571428571423</v>
      </c>
      <c r="Q10" s="4">
        <f t="shared" si="5"/>
        <v>25.142857142857142</v>
      </c>
      <c r="R10" s="4">
        <f t="shared" si="6"/>
        <v>-18.142857142857142</v>
      </c>
      <c r="S10" s="2">
        <v>180</v>
      </c>
      <c r="T10" s="11">
        <f t="shared" si="0"/>
        <v>0.35714285714285715</v>
      </c>
    </row>
    <row r="11" spans="1:20" x14ac:dyDescent="0.2">
      <c r="A11" s="2">
        <v>8</v>
      </c>
      <c r="B11" s="2" t="s">
        <v>24</v>
      </c>
      <c r="C11" s="2">
        <v>9</v>
      </c>
      <c r="D11" s="2">
        <v>38</v>
      </c>
      <c r="E11" s="3">
        <v>21.5</v>
      </c>
      <c r="F11" s="2">
        <v>-115</v>
      </c>
      <c r="G11" s="4">
        <f t="shared" si="1"/>
        <v>23.547619047619051</v>
      </c>
      <c r="H11" s="4">
        <f>(C11-D11) + E11</f>
        <v>-7.5</v>
      </c>
      <c r="I11" s="3">
        <v>54.5</v>
      </c>
      <c r="J11" s="4">
        <f>I11/2 - E11/2</f>
        <v>16.5</v>
      </c>
      <c r="K11" s="4">
        <f>C11-J11</f>
        <v>-7.5</v>
      </c>
      <c r="L11" s="4">
        <f>I11/2 + E11/2</f>
        <v>38</v>
      </c>
      <c r="M11" s="4">
        <f>D11-L11</f>
        <v>0</v>
      </c>
      <c r="N11" s="4">
        <f t="shared" si="2"/>
        <v>-5.452380952380949</v>
      </c>
      <c r="O11" s="4">
        <f t="shared" si="3"/>
        <v>15.476190476190474</v>
      </c>
      <c r="P11" s="4">
        <f t="shared" si="4"/>
        <v>-6.4761904761904745</v>
      </c>
      <c r="Q11" s="4">
        <f t="shared" si="5"/>
        <v>39.023809523809526</v>
      </c>
      <c r="R11" s="4">
        <f t="shared" si="6"/>
        <v>-1.0238095238095255</v>
      </c>
      <c r="S11" s="2">
        <v>992</v>
      </c>
      <c r="T11" s="11">
        <f t="shared" si="0"/>
        <v>9.1575091575091569E-2</v>
      </c>
    </row>
    <row r="12" spans="1:20" x14ac:dyDescent="0.2">
      <c r="A12" s="2">
        <v>9</v>
      </c>
      <c r="B12" s="2" t="s">
        <v>22</v>
      </c>
      <c r="C12" s="2">
        <v>17</v>
      </c>
      <c r="D12" s="2">
        <v>25</v>
      </c>
      <c r="E12" s="3">
        <v>2.5</v>
      </c>
      <c r="F12" s="2">
        <v>-103</v>
      </c>
      <c r="G12" s="4">
        <f t="shared" si="1"/>
        <v>2.4523809523809521</v>
      </c>
      <c r="H12" s="4">
        <f>(C12-D12) + E12</f>
        <v>-5.5</v>
      </c>
      <c r="I12" s="3">
        <v>47</v>
      </c>
      <c r="J12" s="4">
        <f>I12/2 - E12/2</f>
        <v>22.25</v>
      </c>
      <c r="K12" s="4">
        <f>C12-J12</f>
        <v>-5.25</v>
      </c>
      <c r="L12" s="4">
        <f>I12/2 + E12/2</f>
        <v>24.75</v>
      </c>
      <c r="M12" s="4">
        <f>D12-L12</f>
        <v>0.25</v>
      </c>
      <c r="N12" s="4">
        <f t="shared" si="2"/>
        <v>-5.5476190476190474</v>
      </c>
      <c r="O12" s="4">
        <f t="shared" si="3"/>
        <v>22.273809523809526</v>
      </c>
      <c r="P12" s="4">
        <f t="shared" si="4"/>
        <v>-5.2738095238095255</v>
      </c>
      <c r="Q12" s="4">
        <f t="shared" si="5"/>
        <v>24.726190476190474</v>
      </c>
      <c r="R12" s="4">
        <f t="shared" si="6"/>
        <v>0.2738095238095255</v>
      </c>
      <c r="S12" s="2">
        <v>119</v>
      </c>
      <c r="T12" s="11">
        <f t="shared" si="0"/>
        <v>0.45662100456621002</v>
      </c>
    </row>
    <row r="13" spans="1:20" x14ac:dyDescent="0.2">
      <c r="A13" s="2">
        <v>10</v>
      </c>
      <c r="B13" s="2" t="s">
        <v>35</v>
      </c>
      <c r="C13" s="9">
        <v>38</v>
      </c>
      <c r="D13" s="9">
        <v>16</v>
      </c>
      <c r="E13" s="10">
        <v>-1.5</v>
      </c>
      <c r="F13" s="2">
        <v>-111</v>
      </c>
      <c r="G13" s="4">
        <f t="shared" si="1"/>
        <v>-1.5857142857142859</v>
      </c>
      <c r="H13" s="4">
        <f>(C13-D13) + E13</f>
        <v>20.5</v>
      </c>
      <c r="I13" s="3">
        <v>47.5</v>
      </c>
      <c r="J13" s="4">
        <f>I13/2 - E13/2</f>
        <v>24.5</v>
      </c>
      <c r="K13" s="4">
        <f>C13-J13</f>
        <v>13.5</v>
      </c>
      <c r="L13" s="4">
        <f>I13/2 + E13/2</f>
        <v>23</v>
      </c>
      <c r="M13" s="4">
        <f>D13-L13</f>
        <v>-7</v>
      </c>
      <c r="N13" s="4">
        <f t="shared" si="2"/>
        <v>20.414285714285715</v>
      </c>
      <c r="O13" s="4">
        <f t="shared" si="3"/>
        <v>24.542857142857144</v>
      </c>
      <c r="P13" s="4">
        <f t="shared" si="4"/>
        <v>13.457142857142856</v>
      </c>
      <c r="Q13" s="4">
        <f t="shared" si="5"/>
        <v>22.957142857142856</v>
      </c>
      <c r="R13" s="4">
        <f t="shared" si="6"/>
        <v>-6.9571428571428555</v>
      </c>
      <c r="S13" s="2">
        <v>-125</v>
      </c>
      <c r="T13" s="11">
        <f t="shared" si="0"/>
        <v>0.55555555555555558</v>
      </c>
    </row>
    <row r="14" spans="1:20" x14ac:dyDescent="0.2">
      <c r="A14" s="2">
        <v>11</v>
      </c>
      <c r="B14" s="2" t="s">
        <v>197</v>
      </c>
      <c r="C14" s="9">
        <v>38</v>
      </c>
      <c r="D14" s="9">
        <v>31</v>
      </c>
      <c r="E14" s="10">
        <v>2.5</v>
      </c>
      <c r="F14" s="2">
        <v>-109</v>
      </c>
      <c r="G14" s="4">
        <f t="shared" si="1"/>
        <v>2.5952380952380953</v>
      </c>
      <c r="H14" s="4">
        <f>(C14-D14) + E14</f>
        <v>9.5</v>
      </c>
      <c r="I14" s="3">
        <v>48</v>
      </c>
      <c r="J14" s="4">
        <f>I14/2 - E14/2</f>
        <v>22.75</v>
      </c>
      <c r="K14" s="4">
        <f>C14-J14</f>
        <v>15.25</v>
      </c>
      <c r="L14" s="4">
        <f>I14/2 + E14/2</f>
        <v>25.25</v>
      </c>
      <c r="M14" s="4">
        <f>D14-L14</f>
        <v>5.75</v>
      </c>
      <c r="N14" s="4">
        <f t="shared" si="2"/>
        <v>9.5952380952380949</v>
      </c>
      <c r="O14" s="4">
        <f t="shared" si="3"/>
        <v>22.702380952380953</v>
      </c>
      <c r="P14" s="4">
        <f t="shared" si="4"/>
        <v>15.297619047619047</v>
      </c>
      <c r="Q14" s="4">
        <f t="shared" si="5"/>
        <v>25.297619047619047</v>
      </c>
      <c r="R14" s="4">
        <f t="shared" si="6"/>
        <v>5.7023809523809526</v>
      </c>
      <c r="S14" s="2">
        <v>114</v>
      </c>
      <c r="T14" s="11">
        <f t="shared" si="0"/>
        <v>0.46728971962616822</v>
      </c>
    </row>
    <row r="15" spans="1:20" x14ac:dyDescent="0.2">
      <c r="A15" s="2">
        <v>12</v>
      </c>
      <c r="B15" s="2" t="s">
        <v>85</v>
      </c>
      <c r="C15" s="9">
        <v>38</v>
      </c>
      <c r="D15" s="9">
        <v>28</v>
      </c>
      <c r="E15" s="10">
        <v>-8.5</v>
      </c>
      <c r="F15" s="2">
        <v>-109</v>
      </c>
      <c r="G15" s="4">
        <f t="shared" si="1"/>
        <v>-8.8238095238095244</v>
      </c>
      <c r="H15" s="4">
        <f>(C15-D15) + E15</f>
        <v>1.5</v>
      </c>
      <c r="I15" s="3">
        <v>43.5</v>
      </c>
      <c r="J15" s="4">
        <f>I15/2 - E15/2</f>
        <v>26</v>
      </c>
      <c r="K15" s="4">
        <f>C15-J15</f>
        <v>12</v>
      </c>
      <c r="L15" s="4">
        <f>I15/2 + E15/2</f>
        <v>17.5</v>
      </c>
      <c r="M15" s="4">
        <f>D15-L15</f>
        <v>10.5</v>
      </c>
      <c r="N15" s="4">
        <f t="shared" si="2"/>
        <v>1.1761904761904756</v>
      </c>
      <c r="O15" s="4">
        <f t="shared" si="3"/>
        <v>26.161904761904761</v>
      </c>
      <c r="P15" s="4">
        <f t="shared" si="4"/>
        <v>11.838095238095239</v>
      </c>
      <c r="Q15" s="4">
        <f t="shared" si="5"/>
        <v>17.338095238095239</v>
      </c>
      <c r="R15" s="4">
        <f t="shared" si="6"/>
        <v>10.661904761904761</v>
      </c>
      <c r="S15" s="2">
        <v>-319</v>
      </c>
      <c r="T15" s="11">
        <f t="shared" si="0"/>
        <v>0.76133651551312653</v>
      </c>
    </row>
    <row r="17" spans="1:20" s="4" customFormat="1" x14ac:dyDescent="0.2">
      <c r="A17" s="5" t="s">
        <v>25</v>
      </c>
      <c r="C17" s="4">
        <f>SUM(C4:C15)</f>
        <v>347</v>
      </c>
      <c r="D17" s="4">
        <f>SUM(D4:D15)</f>
        <v>265</v>
      </c>
      <c r="E17" s="4">
        <f>SUM(E4:E15)</f>
        <v>-15.5</v>
      </c>
      <c r="F17" s="4">
        <f>SUM(F4:F15)</f>
        <v>-1317</v>
      </c>
      <c r="G17" s="4">
        <f>SUM(G4:G15)</f>
        <v>-14.900000000000007</v>
      </c>
      <c r="H17" s="4">
        <f>SUM(H4:H15)</f>
        <v>66.5</v>
      </c>
      <c r="I17" s="4">
        <f>SUM(I4:I15)</f>
        <v>582</v>
      </c>
      <c r="J17" s="4">
        <f>SUM(J4:J15)</f>
        <v>298.75</v>
      </c>
      <c r="K17" s="4">
        <f>SUM(K4:K15)</f>
        <v>48.25</v>
      </c>
      <c r="L17" s="4">
        <f>SUM(L4:L15)</f>
        <v>283.25</v>
      </c>
      <c r="M17" s="4">
        <f>SUM(M3:M15)</f>
        <v>-18.25</v>
      </c>
      <c r="N17" s="4">
        <f>SUM(N3:N15)</f>
        <v>67.099999999999994</v>
      </c>
      <c r="O17" s="4">
        <f>SUM(O3:O15)</f>
        <v>298.45</v>
      </c>
      <c r="P17" s="4">
        <f>SUM(P3:P15)</f>
        <v>48.55</v>
      </c>
      <c r="Q17" s="4">
        <f>SUM(Q3:Q15)</f>
        <v>283.55</v>
      </c>
      <c r="R17" s="4">
        <f>SUM(R3:R15)</f>
        <v>-18.549999999999997</v>
      </c>
    </row>
    <row r="18" spans="1:20" s="7" customFormat="1" x14ac:dyDescent="0.2">
      <c r="A18" s="6" t="s">
        <v>26</v>
      </c>
      <c r="C18" s="7">
        <f>AVERAGE(C4:C15)</f>
        <v>28.916666666666668</v>
      </c>
      <c r="D18" s="7">
        <f>AVERAGE(D4:D15)</f>
        <v>22.083333333333332</v>
      </c>
      <c r="E18" s="7">
        <f>AVERAGE(E4:E15)</f>
        <v>-1.2916666666666667</v>
      </c>
      <c r="F18" s="7">
        <f>AVERAGE(F4:F15)</f>
        <v>-109.75</v>
      </c>
      <c r="G18" s="4">
        <f>AVERAGE(G4:G15)</f>
        <v>-1.2416666666666674</v>
      </c>
      <c r="H18" s="7">
        <f>AVERAGE(H4:H15)</f>
        <v>5.541666666666667</v>
      </c>
      <c r="I18" s="7">
        <f>AVERAGE(I4:I15)</f>
        <v>48.5</v>
      </c>
      <c r="J18" s="7">
        <f>AVERAGE(J4:J15)</f>
        <v>24.895833333333332</v>
      </c>
      <c r="K18" s="7">
        <f>AVERAGE(K4:K15)</f>
        <v>4.020833333333333</v>
      </c>
      <c r="L18" s="7">
        <f>AVERAGE(L4:L15)</f>
        <v>23.604166666666668</v>
      </c>
      <c r="M18" s="7">
        <f>AVERAGE(M4:M15)</f>
        <v>-1.5208333333333333</v>
      </c>
      <c r="N18" s="7">
        <f>AVERAGE(N4:N15)</f>
        <v>5.5916666666666659</v>
      </c>
      <c r="O18" s="7">
        <f>AVERAGE(O4:O15)</f>
        <v>24.870833333333334</v>
      </c>
      <c r="P18" s="7">
        <f>AVERAGE(P4:P15)</f>
        <v>4.0458333333333334</v>
      </c>
      <c r="Q18" s="7">
        <f>AVERAGE(Q4:Q15)</f>
        <v>23.629166666666666</v>
      </c>
      <c r="R18" s="7">
        <f>AVERAGE(R4:R15)</f>
        <v>-1.5458333333333332</v>
      </c>
      <c r="S18" s="7">
        <f>AVERAGE(S4:S15)</f>
        <v>-665.25</v>
      </c>
      <c r="T18" s="8">
        <f>AVERAGE(T4:T16)</f>
        <v>0.52771539515936638</v>
      </c>
    </row>
  </sheetData>
  <pageMargins left="0.7" right="0.7" top="0.75" bottom="0.75" header="0.3" footer="0.3"/>
  <pageSetup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CB46-CBD8-FB41-8FD9-CF9564208624}">
  <sheetPr>
    <tabColor theme="5"/>
  </sheetPr>
  <dimension ref="A1:T18"/>
  <sheetViews>
    <sheetView zoomScale="57" zoomScaleNormal="100" workbookViewId="0">
      <selection activeCell="C18" sqref="C18:R18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4.1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198</v>
      </c>
      <c r="B1" s="1" t="s">
        <v>199</v>
      </c>
      <c r="C1" s="1" t="s">
        <v>153</v>
      </c>
      <c r="D1" s="1" t="s">
        <v>136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200</v>
      </c>
      <c r="C4" s="9">
        <v>38</v>
      </c>
      <c r="D4" s="9">
        <v>22</v>
      </c>
      <c r="E4" s="3">
        <v>-17</v>
      </c>
      <c r="F4" s="2">
        <v>-111</v>
      </c>
      <c r="G4" s="4">
        <f>E4*(F4/-105)</f>
        <v>-17.971428571428572</v>
      </c>
      <c r="H4" s="4">
        <f>(C4-D4) + E4</f>
        <v>-1</v>
      </c>
      <c r="I4" s="3">
        <v>44.5</v>
      </c>
      <c r="J4" s="4">
        <f>I4/2 - E4/2</f>
        <v>30.75</v>
      </c>
      <c r="K4" s="4">
        <f>C4-J4</f>
        <v>7.25</v>
      </c>
      <c r="L4" s="4">
        <f>I4/2 + E4/2</f>
        <v>13.75</v>
      </c>
      <c r="M4" s="4">
        <f>D4-L4</f>
        <v>8.25</v>
      </c>
      <c r="N4" s="4">
        <f>(C4-D4) + G4</f>
        <v>-1.9714285714285715</v>
      </c>
      <c r="O4" s="4">
        <f>I4/2 - G4/2</f>
        <v>31.235714285714288</v>
      </c>
      <c r="P4" s="4">
        <f>C4-O4</f>
        <v>6.7642857142857125</v>
      </c>
      <c r="Q4" s="4">
        <f>I4/2 + G4/2</f>
        <v>13.264285714285714</v>
      </c>
      <c r="R4" s="4">
        <f>D4-Q4</f>
        <v>8.7357142857142858</v>
      </c>
      <c r="S4" s="2">
        <v>-1009</v>
      </c>
      <c r="T4" s="11">
        <f t="shared" ref="T4:T15" si="0">IF(S4&gt;0,100/(100+S4),ABS(S4)/(100+ABS(S4)))</f>
        <v>0.90982867448151483</v>
      </c>
    </row>
    <row r="5" spans="1:20" x14ac:dyDescent="0.2">
      <c r="A5" s="2">
        <v>2</v>
      </c>
      <c r="B5" s="2" t="s">
        <v>51</v>
      </c>
      <c r="C5" s="9">
        <v>31</v>
      </c>
      <c r="D5" s="9">
        <v>28</v>
      </c>
      <c r="E5" s="10">
        <v>3</v>
      </c>
      <c r="F5" s="2">
        <v>-115</v>
      </c>
      <c r="G5" s="4">
        <f t="shared" ref="G5:G15" si="1">E5*(F5/-105)</f>
        <v>3.285714285714286</v>
      </c>
      <c r="H5" s="4">
        <f>(C5-D5) + E5</f>
        <v>6</v>
      </c>
      <c r="I5" s="3">
        <v>60.5</v>
      </c>
      <c r="J5" s="4">
        <f>I5/2 - E5/2</f>
        <v>28.75</v>
      </c>
      <c r="K5" s="4">
        <f>C5-J5</f>
        <v>2.25</v>
      </c>
      <c r="L5" s="4">
        <f>I5/2 + E5/2</f>
        <v>31.75</v>
      </c>
      <c r="M5" s="4">
        <f>D5-L5</f>
        <v>-3.75</v>
      </c>
      <c r="N5" s="4">
        <f t="shared" ref="N5:N15" si="2">(C5-D5) + G5</f>
        <v>6.2857142857142865</v>
      </c>
      <c r="O5" s="4">
        <f t="shared" ref="O5:O15" si="3">I5/2 - G5/2</f>
        <v>28.607142857142858</v>
      </c>
      <c r="P5" s="4">
        <f t="shared" ref="P5:P15" si="4">C5-O5</f>
        <v>2.3928571428571423</v>
      </c>
      <c r="Q5" s="4">
        <f t="shared" ref="Q5:Q15" si="5">I5/2 + G5/2</f>
        <v>31.892857142857142</v>
      </c>
      <c r="R5" s="4">
        <f t="shared" ref="R5:R15" si="6">D5-Q5</f>
        <v>-3.8928571428571423</v>
      </c>
      <c r="S5" s="2">
        <v>112</v>
      </c>
      <c r="T5" s="11">
        <f t="shared" si="0"/>
        <v>0.47169811320754718</v>
      </c>
    </row>
    <row r="6" spans="1:20" x14ac:dyDescent="0.2">
      <c r="A6" s="2">
        <v>3</v>
      </c>
      <c r="B6" s="2" t="s">
        <v>60</v>
      </c>
      <c r="C6" s="2">
        <v>24</v>
      </c>
      <c r="D6" s="2">
        <v>26</v>
      </c>
      <c r="E6" s="3">
        <v>-9</v>
      </c>
      <c r="F6" s="2">
        <v>-112</v>
      </c>
      <c r="G6" s="4">
        <f t="shared" si="1"/>
        <v>-9.6</v>
      </c>
      <c r="H6" s="4">
        <f>(C6-D6) + E6</f>
        <v>-11</v>
      </c>
      <c r="I6" s="3">
        <v>56.5</v>
      </c>
      <c r="J6" s="4">
        <f>I6/2 - E6/2</f>
        <v>32.75</v>
      </c>
      <c r="K6" s="4">
        <f>C6-J6</f>
        <v>-8.75</v>
      </c>
      <c r="L6" s="4">
        <f>I6/2 + E6/2</f>
        <v>23.75</v>
      </c>
      <c r="M6" s="4">
        <f>D6-L6</f>
        <v>2.25</v>
      </c>
      <c r="N6" s="4">
        <f t="shared" si="2"/>
        <v>-11.6</v>
      </c>
      <c r="O6" s="4">
        <f t="shared" si="3"/>
        <v>33.049999999999997</v>
      </c>
      <c r="P6" s="4">
        <f t="shared" si="4"/>
        <v>-9.0499999999999972</v>
      </c>
      <c r="Q6" s="4">
        <f t="shared" si="5"/>
        <v>23.45</v>
      </c>
      <c r="R6" s="4">
        <f t="shared" si="6"/>
        <v>2.5500000000000007</v>
      </c>
      <c r="S6" s="2">
        <v>-364</v>
      </c>
      <c r="T6" s="11">
        <f t="shared" si="0"/>
        <v>0.78448275862068961</v>
      </c>
    </row>
    <row r="7" spans="1:20" x14ac:dyDescent="0.2">
      <c r="A7" s="2">
        <v>4</v>
      </c>
      <c r="B7" s="2" t="s">
        <v>201</v>
      </c>
      <c r="C7" s="9">
        <v>42</v>
      </c>
      <c r="D7" s="9">
        <v>14</v>
      </c>
      <c r="E7" s="3">
        <v>-30.5</v>
      </c>
      <c r="F7" s="2">
        <v>-113</v>
      </c>
      <c r="G7" s="4">
        <f t="shared" si="1"/>
        <v>-32.823809523809523</v>
      </c>
      <c r="H7" s="4">
        <f>(C7-D7) + E7</f>
        <v>-2.5</v>
      </c>
      <c r="I7" s="3">
        <v>59.5</v>
      </c>
      <c r="J7" s="4">
        <f>I7/2 - E7/2</f>
        <v>45</v>
      </c>
      <c r="K7" s="4">
        <f>C7-J7</f>
        <v>-3</v>
      </c>
      <c r="L7" s="4">
        <f>I7/2 + E7/2</f>
        <v>14.5</v>
      </c>
      <c r="M7" s="4">
        <f>D7-L7</f>
        <v>-0.5</v>
      </c>
      <c r="N7" s="4">
        <f t="shared" si="2"/>
        <v>-4.8238095238095227</v>
      </c>
      <c r="O7" s="4">
        <f t="shared" si="3"/>
        <v>46.161904761904765</v>
      </c>
      <c r="P7" s="4">
        <f t="shared" si="4"/>
        <v>-4.1619047619047649</v>
      </c>
      <c r="Q7" s="4">
        <f t="shared" si="5"/>
        <v>13.338095238095239</v>
      </c>
      <c r="R7" s="4">
        <f t="shared" si="6"/>
        <v>0.66190476190476133</v>
      </c>
      <c r="S7" s="2">
        <v>-7238</v>
      </c>
      <c r="T7" s="11">
        <f t="shared" si="0"/>
        <v>0.98637230853093483</v>
      </c>
    </row>
    <row r="8" spans="1:20" x14ac:dyDescent="0.2">
      <c r="A8" s="2">
        <v>5</v>
      </c>
      <c r="B8" s="2" t="s">
        <v>100</v>
      </c>
      <c r="C8" s="9">
        <v>44</v>
      </c>
      <c r="D8" s="9">
        <v>41</v>
      </c>
      <c r="E8" s="10">
        <v>5.5</v>
      </c>
      <c r="F8" s="2">
        <v>-110</v>
      </c>
      <c r="G8" s="4">
        <f t="shared" si="1"/>
        <v>5.7619047619047619</v>
      </c>
      <c r="H8" s="4">
        <f>(C8-D8) + E8</f>
        <v>8.5</v>
      </c>
      <c r="I8" s="3">
        <v>55.5</v>
      </c>
      <c r="J8" s="4">
        <f>I8/2 - E8/2</f>
        <v>25</v>
      </c>
      <c r="K8" s="4">
        <f>C8-J8</f>
        <v>19</v>
      </c>
      <c r="L8" s="4">
        <f>I8/2 + E8/2</f>
        <v>30.5</v>
      </c>
      <c r="M8" s="4">
        <f>D8-L8</f>
        <v>10.5</v>
      </c>
      <c r="N8" s="4">
        <f t="shared" si="2"/>
        <v>8.7619047619047628</v>
      </c>
      <c r="O8" s="4">
        <f t="shared" si="3"/>
        <v>24.86904761904762</v>
      </c>
      <c r="P8" s="4">
        <f t="shared" si="4"/>
        <v>19.13095238095238</v>
      </c>
      <c r="Q8" s="4">
        <f t="shared" si="5"/>
        <v>30.63095238095238</v>
      </c>
      <c r="R8" s="4">
        <f t="shared" si="6"/>
        <v>10.36904761904762</v>
      </c>
      <c r="S8" s="2">
        <v>170</v>
      </c>
      <c r="T8" s="11">
        <f t="shared" si="0"/>
        <v>0.37037037037037035</v>
      </c>
    </row>
    <row r="9" spans="1:20" x14ac:dyDescent="0.2">
      <c r="A9" s="2">
        <v>6</v>
      </c>
      <c r="B9" s="2" t="s">
        <v>90</v>
      </c>
      <c r="C9" s="9">
        <v>24</v>
      </c>
      <c r="D9" s="9">
        <v>17</v>
      </c>
      <c r="E9" s="10">
        <v>-1</v>
      </c>
      <c r="F9" s="2">
        <v>-108</v>
      </c>
      <c r="G9" s="4">
        <f t="shared" si="1"/>
        <v>-1.0285714285714285</v>
      </c>
      <c r="H9" s="4">
        <f>(C9-D9) + E9</f>
        <v>6</v>
      </c>
      <c r="I9" s="3">
        <v>51.5</v>
      </c>
      <c r="J9" s="4">
        <f>I9/2 - E9/2</f>
        <v>26.25</v>
      </c>
      <c r="K9" s="4">
        <f>C9-J9</f>
        <v>-2.25</v>
      </c>
      <c r="L9" s="4">
        <f>I9/2 + E9/2</f>
        <v>25.25</v>
      </c>
      <c r="M9" s="4">
        <f>D9-L9</f>
        <v>-8.25</v>
      </c>
      <c r="N9" s="4">
        <f t="shared" si="2"/>
        <v>5.9714285714285715</v>
      </c>
      <c r="O9" s="4">
        <f t="shared" si="3"/>
        <v>26.264285714285712</v>
      </c>
      <c r="P9" s="4">
        <f t="shared" si="4"/>
        <v>-2.2642857142857125</v>
      </c>
      <c r="Q9" s="4">
        <f t="shared" si="5"/>
        <v>25.235714285714288</v>
      </c>
      <c r="R9" s="4">
        <f t="shared" si="6"/>
        <v>-8.2357142857142875</v>
      </c>
      <c r="S9" s="2">
        <v>-116</v>
      </c>
      <c r="T9" s="11">
        <f t="shared" si="0"/>
        <v>0.53703703703703709</v>
      </c>
    </row>
    <row r="10" spans="1:20" x14ac:dyDescent="0.2">
      <c r="A10" s="2">
        <v>7</v>
      </c>
      <c r="B10" s="2" t="s">
        <v>140</v>
      </c>
      <c r="C10" s="2">
        <v>13</v>
      </c>
      <c r="D10" s="2">
        <v>41</v>
      </c>
      <c r="E10" s="3">
        <v>5</v>
      </c>
      <c r="F10" s="2">
        <v>-112</v>
      </c>
      <c r="G10" s="4">
        <f t="shared" si="1"/>
        <v>5.333333333333333</v>
      </c>
      <c r="H10" s="4">
        <f>(C10-D10) + E10</f>
        <v>-23</v>
      </c>
      <c r="I10" s="3">
        <v>62.5</v>
      </c>
      <c r="J10" s="4">
        <f>I10/2 - E10/2</f>
        <v>28.75</v>
      </c>
      <c r="K10" s="4">
        <f>C10-J10</f>
        <v>-15.75</v>
      </c>
      <c r="L10" s="4">
        <f>I10/2 + E10/2</f>
        <v>33.75</v>
      </c>
      <c r="M10" s="4">
        <f>D10-L10</f>
        <v>7.25</v>
      </c>
      <c r="N10" s="4">
        <f t="shared" si="2"/>
        <v>-22.666666666666668</v>
      </c>
      <c r="O10" s="4">
        <f t="shared" si="3"/>
        <v>28.583333333333332</v>
      </c>
      <c r="P10" s="4">
        <f t="shared" si="4"/>
        <v>-15.583333333333332</v>
      </c>
      <c r="Q10" s="4">
        <f t="shared" si="5"/>
        <v>33.916666666666664</v>
      </c>
      <c r="R10" s="4">
        <f t="shared" si="6"/>
        <v>7.0833333333333357</v>
      </c>
      <c r="S10" s="2">
        <v>167</v>
      </c>
      <c r="T10" s="11">
        <f t="shared" si="0"/>
        <v>0.37453183520599254</v>
      </c>
    </row>
    <row r="11" spans="1:20" x14ac:dyDescent="0.2">
      <c r="A11" s="2">
        <v>8</v>
      </c>
      <c r="B11" s="2" t="s">
        <v>63</v>
      </c>
      <c r="C11" s="9">
        <v>38</v>
      </c>
      <c r="D11" s="9">
        <v>31</v>
      </c>
      <c r="E11" s="10">
        <v>2.5</v>
      </c>
      <c r="F11" s="2">
        <v>-108</v>
      </c>
      <c r="G11" s="4">
        <f t="shared" si="1"/>
        <v>2.5714285714285712</v>
      </c>
      <c r="H11" s="4">
        <f>(C11-D11) + E11</f>
        <v>9.5</v>
      </c>
      <c r="I11" s="3">
        <v>52.5</v>
      </c>
      <c r="J11" s="4">
        <f>I11/2 - E11/2</f>
        <v>25</v>
      </c>
      <c r="K11" s="4">
        <f>C11-J11</f>
        <v>13</v>
      </c>
      <c r="L11" s="4">
        <f>I11/2 + E11/2</f>
        <v>27.5</v>
      </c>
      <c r="M11" s="4">
        <f>D11-L11</f>
        <v>3.5</v>
      </c>
      <c r="N11" s="4">
        <f t="shared" si="2"/>
        <v>9.5714285714285712</v>
      </c>
      <c r="O11" s="4">
        <f t="shared" si="3"/>
        <v>24.964285714285715</v>
      </c>
      <c r="P11" s="4">
        <f t="shared" si="4"/>
        <v>13.035714285714285</v>
      </c>
      <c r="Q11" s="4">
        <f t="shared" si="5"/>
        <v>27.535714285714285</v>
      </c>
      <c r="R11" s="4">
        <f t="shared" si="6"/>
        <v>3.4642857142857153</v>
      </c>
      <c r="S11" s="2">
        <v>123</v>
      </c>
      <c r="T11" s="11">
        <f t="shared" si="0"/>
        <v>0.44843049327354262</v>
      </c>
    </row>
    <row r="12" spans="1:20" x14ac:dyDescent="0.2">
      <c r="A12" s="2">
        <v>9</v>
      </c>
      <c r="B12" s="2" t="s">
        <v>141</v>
      </c>
      <c r="C12" s="2">
        <v>31</v>
      </c>
      <c r="D12" s="2">
        <v>37</v>
      </c>
      <c r="E12" s="3">
        <v>3</v>
      </c>
      <c r="F12" s="2">
        <v>-112</v>
      </c>
      <c r="G12" s="4">
        <f t="shared" si="1"/>
        <v>3.2</v>
      </c>
      <c r="H12" s="4">
        <f>(C12-D12) + E12</f>
        <v>-3</v>
      </c>
      <c r="I12" s="3">
        <v>52</v>
      </c>
      <c r="J12" s="4">
        <f>I12/2 - E12/2</f>
        <v>24.5</v>
      </c>
      <c r="K12" s="4">
        <f>C12-J12</f>
        <v>6.5</v>
      </c>
      <c r="L12" s="4">
        <f>I12/2 + E12/2</f>
        <v>27.5</v>
      </c>
      <c r="M12" s="4">
        <f>D12-L12</f>
        <v>9.5</v>
      </c>
      <c r="N12" s="4">
        <f t="shared" si="2"/>
        <v>-2.8</v>
      </c>
      <c r="O12" s="4">
        <f t="shared" si="3"/>
        <v>24.4</v>
      </c>
      <c r="P12" s="4">
        <f t="shared" si="4"/>
        <v>6.6000000000000014</v>
      </c>
      <c r="Q12" s="4">
        <f t="shared" si="5"/>
        <v>27.6</v>
      </c>
      <c r="R12" s="4">
        <f t="shared" si="6"/>
        <v>9.3999999999999986</v>
      </c>
      <c r="S12" s="2">
        <v>124</v>
      </c>
      <c r="T12" s="11">
        <f t="shared" si="0"/>
        <v>0.44642857142857145</v>
      </c>
    </row>
    <row r="13" spans="1:20" x14ac:dyDescent="0.2">
      <c r="A13" s="2">
        <v>10</v>
      </c>
      <c r="B13" s="2" t="s">
        <v>143</v>
      </c>
      <c r="C13" s="9">
        <v>33</v>
      </c>
      <c r="D13" s="9">
        <v>25</v>
      </c>
      <c r="E13" s="10">
        <v>10.5</v>
      </c>
      <c r="F13" s="2">
        <v>-116</v>
      </c>
      <c r="G13" s="4">
        <f t="shared" si="1"/>
        <v>11.600000000000001</v>
      </c>
      <c r="H13" s="4">
        <f>(C13-D13) + E13</f>
        <v>18.5</v>
      </c>
      <c r="I13" s="3">
        <v>58</v>
      </c>
      <c r="J13" s="4">
        <f>I13/2 - E13/2</f>
        <v>23.75</v>
      </c>
      <c r="K13" s="4">
        <f>C13-J13</f>
        <v>9.25</v>
      </c>
      <c r="L13" s="4">
        <f>I13/2 + E13/2</f>
        <v>34.25</v>
      </c>
      <c r="M13" s="4">
        <f>D13-L13</f>
        <v>-9.25</v>
      </c>
      <c r="N13" s="4">
        <f t="shared" si="2"/>
        <v>19.600000000000001</v>
      </c>
      <c r="O13" s="4">
        <f t="shared" si="3"/>
        <v>23.2</v>
      </c>
      <c r="P13" s="4">
        <f t="shared" si="4"/>
        <v>9.8000000000000007</v>
      </c>
      <c r="Q13" s="4">
        <f t="shared" si="5"/>
        <v>34.799999999999997</v>
      </c>
      <c r="R13" s="4">
        <f t="shared" si="6"/>
        <v>-9.7999999999999972</v>
      </c>
      <c r="S13" s="2">
        <v>293</v>
      </c>
      <c r="T13" s="11">
        <f t="shared" si="0"/>
        <v>0.2544529262086514</v>
      </c>
    </row>
    <row r="14" spans="1:20" x14ac:dyDescent="0.2">
      <c r="A14" s="2">
        <v>11</v>
      </c>
      <c r="B14" s="2" t="s">
        <v>202</v>
      </c>
      <c r="C14" s="9">
        <v>31</v>
      </c>
      <c r="D14" s="9">
        <v>24</v>
      </c>
      <c r="E14" s="3">
        <v>-10</v>
      </c>
      <c r="F14" s="2">
        <v>-109</v>
      </c>
      <c r="G14" s="4">
        <f t="shared" si="1"/>
        <v>-10.380952380952381</v>
      </c>
      <c r="H14" s="4">
        <f>(C14-D14) + E14</f>
        <v>-3</v>
      </c>
      <c r="I14" s="3">
        <v>53.5</v>
      </c>
      <c r="J14" s="4">
        <f>I14/2 - E14/2</f>
        <v>31.75</v>
      </c>
      <c r="K14" s="4">
        <f>C14-J14</f>
        <v>-0.75</v>
      </c>
      <c r="L14" s="4">
        <f>I14/2 + E14/2</f>
        <v>21.75</v>
      </c>
      <c r="M14" s="4">
        <f>D14-L14</f>
        <v>2.25</v>
      </c>
      <c r="N14" s="4">
        <f t="shared" si="2"/>
        <v>-3.3809523809523814</v>
      </c>
      <c r="O14" s="4">
        <f t="shared" si="3"/>
        <v>31.94047619047619</v>
      </c>
      <c r="P14" s="4">
        <f t="shared" si="4"/>
        <v>-0.9404761904761898</v>
      </c>
      <c r="Q14" s="4">
        <f t="shared" si="5"/>
        <v>21.55952380952381</v>
      </c>
      <c r="R14" s="4">
        <f t="shared" si="6"/>
        <v>2.4404761904761898</v>
      </c>
      <c r="S14" s="2">
        <v>-383</v>
      </c>
      <c r="T14" s="11">
        <f t="shared" si="0"/>
        <v>0.79296066252587993</v>
      </c>
    </row>
    <row r="15" spans="1:20" x14ac:dyDescent="0.2">
      <c r="A15" s="2">
        <v>12</v>
      </c>
      <c r="B15" s="2" t="s">
        <v>203</v>
      </c>
      <c r="C15" s="9">
        <v>42</v>
      </c>
      <c r="D15" s="9">
        <v>38</v>
      </c>
      <c r="E15" s="10">
        <v>12</v>
      </c>
      <c r="F15" s="2">
        <v>-109</v>
      </c>
      <c r="G15" s="4">
        <f t="shared" si="1"/>
        <v>12.457142857142859</v>
      </c>
      <c r="H15" s="4">
        <f>(C15-D15) + E15</f>
        <v>16</v>
      </c>
      <c r="I15" s="3">
        <v>67.5</v>
      </c>
      <c r="J15" s="4">
        <f>I15/2 - E15/2</f>
        <v>27.75</v>
      </c>
      <c r="K15" s="4">
        <f>C15-J15</f>
        <v>14.25</v>
      </c>
      <c r="L15" s="4">
        <f>I15/2 + E15/2</f>
        <v>39.75</v>
      </c>
      <c r="M15" s="4">
        <f>D15-L15</f>
        <v>-1.75</v>
      </c>
      <c r="N15" s="4">
        <f t="shared" si="2"/>
        <v>16.457142857142859</v>
      </c>
      <c r="O15" s="4">
        <f t="shared" si="3"/>
        <v>27.521428571428572</v>
      </c>
      <c r="P15" s="4">
        <f t="shared" si="4"/>
        <v>14.478571428571428</v>
      </c>
      <c r="Q15" s="4">
        <f t="shared" si="5"/>
        <v>39.978571428571428</v>
      </c>
      <c r="R15" s="4">
        <f t="shared" si="6"/>
        <v>-1.9785714285714278</v>
      </c>
      <c r="S15" s="2">
        <v>336</v>
      </c>
      <c r="T15" s="11">
        <f t="shared" si="0"/>
        <v>0.22935779816513763</v>
      </c>
    </row>
    <row r="17" spans="1:20" s="4" customFormat="1" x14ac:dyDescent="0.2">
      <c r="A17" s="5" t="s">
        <v>25</v>
      </c>
      <c r="C17" s="4">
        <f>SUM(C4:C15)</f>
        <v>391</v>
      </c>
      <c r="D17" s="4">
        <f>SUM(D4:D15)</f>
        <v>344</v>
      </c>
      <c r="E17" s="4">
        <f t="shared" ref="E17:F17" si="7">SUM(E4:E15)</f>
        <v>-26</v>
      </c>
      <c r="F17" s="4">
        <f t="shared" si="7"/>
        <v>-1335</v>
      </c>
      <c r="G17" s="4">
        <f>SUM(G4:G15)</f>
        <v>-27.595238095238084</v>
      </c>
      <c r="H17" s="4">
        <f>SUM(H4:H15)</f>
        <v>21</v>
      </c>
      <c r="I17" s="4">
        <f>SUM(I4:I15)</f>
        <v>674</v>
      </c>
      <c r="J17" s="4">
        <f>SUM(J4:J15)</f>
        <v>350</v>
      </c>
      <c r="K17" s="4">
        <f>SUM(K4:K15)</f>
        <v>41</v>
      </c>
      <c r="L17" s="4">
        <f>SUM(L4:L15)</f>
        <v>324</v>
      </c>
      <c r="M17" s="4">
        <f>SUM(M3:M15)</f>
        <v>20</v>
      </c>
      <c r="N17" s="4">
        <f>SUM(N3:N15)</f>
        <v>19.404761904761912</v>
      </c>
      <c r="O17" s="4">
        <f>SUM(O3:O15)</f>
        <v>350.79761904761904</v>
      </c>
      <c r="P17" s="4">
        <f>SUM(P3:P15)</f>
        <v>40.202380952380949</v>
      </c>
      <c r="Q17" s="4">
        <f>SUM(Q3:Q15)</f>
        <v>323.20238095238096</v>
      </c>
      <c r="R17" s="4">
        <f>SUM(R3:R15)</f>
        <v>20.797619047619051</v>
      </c>
    </row>
    <row r="18" spans="1:20" s="7" customFormat="1" x14ac:dyDescent="0.2">
      <c r="A18" s="6" t="s">
        <v>26</v>
      </c>
      <c r="C18" s="7">
        <f>AVERAGE(C4:C15)</f>
        <v>32.583333333333336</v>
      </c>
      <c r="D18" s="7">
        <f>AVERAGE(D4:D15)</f>
        <v>28.666666666666668</v>
      </c>
      <c r="E18" s="7">
        <f>AVERAGE(E4:E15)</f>
        <v>-2.1666666666666665</v>
      </c>
      <c r="F18" s="7">
        <f>AVERAGE(F4:F15)</f>
        <v>-111.25</v>
      </c>
      <c r="G18" s="4">
        <f>AVERAGE(G4:G15)</f>
        <v>-2.2996031746031735</v>
      </c>
      <c r="H18" s="7">
        <f>AVERAGE(H4:H15)</f>
        <v>1.75</v>
      </c>
      <c r="I18" s="7">
        <f>AVERAGE(I4:I15)</f>
        <v>56.166666666666664</v>
      </c>
      <c r="J18" s="7">
        <f>AVERAGE(J4:J15)</f>
        <v>29.166666666666668</v>
      </c>
      <c r="K18" s="7">
        <f>AVERAGE(K4:K15)</f>
        <v>3.4166666666666665</v>
      </c>
      <c r="L18" s="7">
        <f>AVERAGE(L4:L15)</f>
        <v>27</v>
      </c>
      <c r="M18" s="7">
        <f>AVERAGE(M4:M15)</f>
        <v>1.6666666666666667</v>
      </c>
      <c r="N18" s="7">
        <f>AVERAGE(N4:N15)</f>
        <v>1.6170634920634928</v>
      </c>
      <c r="O18" s="7">
        <f>AVERAGE(O4:O15)</f>
        <v>29.233134920634921</v>
      </c>
      <c r="P18" s="7">
        <f>AVERAGE(P4:P15)</f>
        <v>3.3501984126984126</v>
      </c>
      <c r="Q18" s="7">
        <f>AVERAGE(Q4:Q15)</f>
        <v>26.933531746031747</v>
      </c>
      <c r="R18" s="7">
        <f>AVERAGE(R4:R15)</f>
        <v>1.7331349206349209</v>
      </c>
      <c r="S18" s="7">
        <f>AVERAGE(S4:S15)</f>
        <v>-648.75</v>
      </c>
      <c r="T18" s="8">
        <f>AVERAGE(T4:T16)</f>
        <v>0.55049596242132248</v>
      </c>
    </row>
  </sheetData>
  <pageMargins left="0.7" right="0.7" top="0.75" bottom="0.75" header="0.3" footer="0.3"/>
  <pageSetup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B30A-744D-E441-9971-07FBB2EFEBFE}">
  <sheetPr>
    <tabColor rgb="FFD7A800"/>
  </sheetPr>
  <dimension ref="A1:T18"/>
  <sheetViews>
    <sheetView zoomScale="57" zoomScaleNormal="100" workbookViewId="0">
      <selection activeCell="M27" sqref="M27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3.66406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204</v>
      </c>
      <c r="B1" s="1" t="s">
        <v>205</v>
      </c>
      <c r="C1" s="1" t="s">
        <v>153</v>
      </c>
      <c r="D1" s="1" t="s">
        <v>53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206</v>
      </c>
      <c r="C4" s="9">
        <v>51</v>
      </c>
      <c r="D4" s="9">
        <v>0</v>
      </c>
      <c r="E4" s="10">
        <v>-50.5</v>
      </c>
      <c r="F4" s="2">
        <v>-110</v>
      </c>
      <c r="G4" s="4">
        <f>E4*(F4/-105)</f>
        <v>-52.904761904761905</v>
      </c>
      <c r="H4" s="4">
        <f>(C4-D4) + E4</f>
        <v>0.5</v>
      </c>
      <c r="I4" s="3">
        <v>63.5</v>
      </c>
      <c r="J4" s="4">
        <f>I4/2 - E4/2</f>
        <v>57</v>
      </c>
      <c r="K4" s="4">
        <f>C4-J4</f>
        <v>-6</v>
      </c>
      <c r="L4" s="4">
        <f>I4/2 + E4/2</f>
        <v>6.5</v>
      </c>
      <c r="M4" s="4">
        <f>D4-L4</f>
        <v>-6.5</v>
      </c>
      <c r="N4" s="4">
        <f>(C4-D4) + G4</f>
        <v>-1.9047619047619051</v>
      </c>
      <c r="O4" s="4">
        <f>I4/2 - G4/2</f>
        <v>58.202380952380949</v>
      </c>
      <c r="P4" s="4">
        <f>C4-O4</f>
        <v>-7.202380952380949</v>
      </c>
      <c r="Q4" s="4">
        <f>I4/2 + G4/2</f>
        <v>5.2976190476190474</v>
      </c>
      <c r="R4" s="4">
        <f>D4-Q4</f>
        <v>-5.2976190476190474</v>
      </c>
      <c r="S4" s="2">
        <v>-20000</v>
      </c>
      <c r="T4" s="11">
        <f t="shared" ref="T4:T15" si="0">IF(S4&gt;0,100/(100+S4),ABS(S4)/(100+ABS(S4)))</f>
        <v>0.99502487562189057</v>
      </c>
    </row>
    <row r="5" spans="1:20" x14ac:dyDescent="0.2">
      <c r="A5" s="2">
        <v>2</v>
      </c>
      <c r="B5" s="2" t="s">
        <v>207</v>
      </c>
      <c r="C5" s="9">
        <v>38</v>
      </c>
      <c r="D5" s="9">
        <v>0</v>
      </c>
      <c r="E5" s="10">
        <v>-32</v>
      </c>
      <c r="F5" s="2">
        <v>-110</v>
      </c>
      <c r="G5" s="4">
        <f t="shared" ref="G5:G15" si="1">E5*(F5/-105)</f>
        <v>-33.523809523809526</v>
      </c>
      <c r="H5" s="4">
        <f>(C5-D5) + E5</f>
        <v>6</v>
      </c>
      <c r="I5" s="3">
        <v>51.5</v>
      </c>
      <c r="J5" s="4">
        <f>I5/2 - E5/2</f>
        <v>41.75</v>
      </c>
      <c r="K5" s="4">
        <f>C5-J5</f>
        <v>-3.75</v>
      </c>
      <c r="L5" s="4">
        <f>I5/2 + E5/2</f>
        <v>9.75</v>
      </c>
      <c r="M5" s="4">
        <f>D5-L5</f>
        <v>-9.75</v>
      </c>
      <c r="N5" s="4">
        <f t="shared" ref="N5:N15" si="2">(C5-D5) + G5</f>
        <v>4.4761904761904745</v>
      </c>
      <c r="O5" s="4">
        <f t="shared" ref="O5:O15" si="3">I5/2 - G5/2</f>
        <v>42.511904761904759</v>
      </c>
      <c r="P5" s="4">
        <f t="shared" ref="P5:P15" si="4">C5-O5</f>
        <v>-4.5119047619047592</v>
      </c>
      <c r="Q5" s="4">
        <f t="shared" ref="Q5:Q15" si="5">I5/2 + G5/2</f>
        <v>8.9880952380952372</v>
      </c>
      <c r="R5" s="4">
        <f t="shared" ref="R5:R15" si="6">D5-Q5</f>
        <v>-8.9880952380952372</v>
      </c>
      <c r="S5" s="2">
        <v>-10000</v>
      </c>
      <c r="T5" s="11">
        <f t="shared" si="0"/>
        <v>0.99009900990099009</v>
      </c>
    </row>
    <row r="6" spans="1:20" x14ac:dyDescent="0.2">
      <c r="A6" s="2">
        <v>3</v>
      </c>
      <c r="B6" s="2" t="s">
        <v>141</v>
      </c>
      <c r="C6" s="9">
        <v>27</v>
      </c>
      <c r="D6" s="9">
        <v>21</v>
      </c>
      <c r="E6" s="3">
        <v>-14.5</v>
      </c>
      <c r="F6" s="2">
        <v>-108</v>
      </c>
      <c r="G6" s="4">
        <f t="shared" si="1"/>
        <v>-14.914285714285713</v>
      </c>
      <c r="H6" s="4">
        <f>(C6-D6) + E6</f>
        <v>-8.5</v>
      </c>
      <c r="I6" s="3">
        <v>52</v>
      </c>
      <c r="J6" s="4">
        <f>I6/2 - E6/2</f>
        <v>33.25</v>
      </c>
      <c r="K6" s="4">
        <f>C6-J6</f>
        <v>-6.25</v>
      </c>
      <c r="L6" s="4">
        <f>I6/2 + E6/2</f>
        <v>18.75</v>
      </c>
      <c r="M6" s="4">
        <f>D6-L6</f>
        <v>2.25</v>
      </c>
      <c r="N6" s="4">
        <f t="shared" si="2"/>
        <v>-8.9142857142857128</v>
      </c>
      <c r="O6" s="4">
        <f t="shared" si="3"/>
        <v>33.457142857142856</v>
      </c>
      <c r="P6" s="4">
        <f t="shared" si="4"/>
        <v>-6.4571428571428555</v>
      </c>
      <c r="Q6" s="4">
        <f t="shared" si="5"/>
        <v>18.542857142857144</v>
      </c>
      <c r="R6" s="4">
        <f t="shared" si="6"/>
        <v>2.4571428571428555</v>
      </c>
      <c r="S6" s="2">
        <v>-663</v>
      </c>
      <c r="T6" s="11">
        <f t="shared" si="0"/>
        <v>0.86893840104849274</v>
      </c>
    </row>
    <row r="7" spans="1:20" x14ac:dyDescent="0.2">
      <c r="A7" s="2">
        <v>4</v>
      </c>
      <c r="B7" s="2" t="s">
        <v>73</v>
      </c>
      <c r="C7" s="9">
        <v>30</v>
      </c>
      <c r="D7" s="9">
        <v>27</v>
      </c>
      <c r="E7" s="3">
        <v>-17.5</v>
      </c>
      <c r="F7" s="2">
        <v>-112</v>
      </c>
      <c r="G7" s="4">
        <f t="shared" si="1"/>
        <v>-18.666666666666668</v>
      </c>
      <c r="H7" s="4">
        <f>(C7-D7) + E7</f>
        <v>-14.5</v>
      </c>
      <c r="I7" s="3">
        <v>52</v>
      </c>
      <c r="J7" s="4">
        <f>I7/2 - E7/2</f>
        <v>34.75</v>
      </c>
      <c r="K7" s="4">
        <f>C7-J7</f>
        <v>-4.75</v>
      </c>
      <c r="L7" s="4">
        <f>I7/2 + E7/2</f>
        <v>17.25</v>
      </c>
      <c r="M7" s="4">
        <f>D7-L7</f>
        <v>9.75</v>
      </c>
      <c r="N7" s="4">
        <f t="shared" si="2"/>
        <v>-15.666666666666668</v>
      </c>
      <c r="O7" s="4">
        <f t="shared" si="3"/>
        <v>35.333333333333336</v>
      </c>
      <c r="P7" s="4">
        <f t="shared" si="4"/>
        <v>-5.3333333333333357</v>
      </c>
      <c r="Q7" s="4">
        <f t="shared" si="5"/>
        <v>16.666666666666664</v>
      </c>
      <c r="R7" s="4">
        <f t="shared" si="6"/>
        <v>10.333333333333336</v>
      </c>
      <c r="S7" s="2">
        <v>-989</v>
      </c>
      <c r="T7" s="11">
        <f t="shared" si="0"/>
        <v>0.90817263544536275</v>
      </c>
    </row>
    <row r="8" spans="1:20" x14ac:dyDescent="0.2">
      <c r="A8" s="2">
        <v>5</v>
      </c>
      <c r="B8" s="2" t="s">
        <v>56</v>
      </c>
      <c r="C8" s="2">
        <v>10</v>
      </c>
      <c r="D8" s="2">
        <v>41</v>
      </c>
      <c r="E8" s="3">
        <v>2.5</v>
      </c>
      <c r="F8" s="2">
        <v>-106</v>
      </c>
      <c r="G8" s="4">
        <f t="shared" si="1"/>
        <v>2.5238095238095237</v>
      </c>
      <c r="H8" s="4">
        <f>(C8-D8) + E8</f>
        <v>-28.5</v>
      </c>
      <c r="I8" s="3">
        <v>47.5</v>
      </c>
      <c r="J8" s="4">
        <f>I8/2 - E8/2</f>
        <v>22.5</v>
      </c>
      <c r="K8" s="4">
        <f>C8-J8</f>
        <v>-12.5</v>
      </c>
      <c r="L8" s="4">
        <f>I8/2 + E8/2</f>
        <v>25</v>
      </c>
      <c r="M8" s="4">
        <f>D8-L8</f>
        <v>16</v>
      </c>
      <c r="N8" s="4">
        <f t="shared" si="2"/>
        <v>-28.476190476190474</v>
      </c>
      <c r="O8" s="4">
        <f t="shared" si="3"/>
        <v>22.488095238095237</v>
      </c>
      <c r="P8" s="4">
        <f t="shared" si="4"/>
        <v>-12.488095238095237</v>
      </c>
      <c r="Q8" s="4">
        <f t="shared" si="5"/>
        <v>25.011904761904763</v>
      </c>
      <c r="R8" s="4">
        <f t="shared" si="6"/>
        <v>15.988095238095237</v>
      </c>
      <c r="S8" s="2">
        <v>116</v>
      </c>
      <c r="T8" s="11">
        <f t="shared" si="0"/>
        <v>0.46296296296296297</v>
      </c>
    </row>
    <row r="9" spans="1:20" x14ac:dyDescent="0.2">
      <c r="A9" s="2">
        <v>6</v>
      </c>
      <c r="B9" s="2" t="s">
        <v>50</v>
      </c>
      <c r="C9" s="9">
        <v>45</v>
      </c>
      <c r="D9" s="9">
        <v>3</v>
      </c>
      <c r="E9" s="10">
        <v>-27.5</v>
      </c>
      <c r="F9" s="2">
        <v>-109</v>
      </c>
      <c r="G9" s="4">
        <f t="shared" si="1"/>
        <v>-28.547619047619051</v>
      </c>
      <c r="H9" s="4">
        <f>(C9-D9) + E9</f>
        <v>14.5</v>
      </c>
      <c r="I9" s="3">
        <v>53.5</v>
      </c>
      <c r="J9" s="4">
        <f>I9/2 - E9/2</f>
        <v>40.5</v>
      </c>
      <c r="K9" s="4">
        <f>C9-J9</f>
        <v>4.5</v>
      </c>
      <c r="L9" s="4">
        <f>I9/2 + E9/2</f>
        <v>13</v>
      </c>
      <c r="M9" s="4">
        <f>D9-L9</f>
        <v>-10</v>
      </c>
      <c r="N9" s="4">
        <f t="shared" si="2"/>
        <v>13.452380952380949</v>
      </c>
      <c r="O9" s="4">
        <f t="shared" si="3"/>
        <v>41.023809523809526</v>
      </c>
      <c r="P9" s="4">
        <f t="shared" si="4"/>
        <v>3.9761904761904745</v>
      </c>
      <c r="Q9" s="4">
        <f t="shared" si="5"/>
        <v>12.476190476190474</v>
      </c>
      <c r="R9" s="4">
        <f t="shared" si="6"/>
        <v>-9.4761904761904745</v>
      </c>
      <c r="S9" s="2">
        <v>-4476</v>
      </c>
      <c r="T9" s="11">
        <f t="shared" si="0"/>
        <v>0.97814685314685312</v>
      </c>
    </row>
    <row r="10" spans="1:20" x14ac:dyDescent="0.2">
      <c r="A10" s="2">
        <v>7</v>
      </c>
      <c r="B10" s="2" t="s">
        <v>44</v>
      </c>
      <c r="C10" s="9">
        <v>21</v>
      </c>
      <c r="D10" s="9">
        <v>17</v>
      </c>
      <c r="E10" s="10">
        <v>-3.5</v>
      </c>
      <c r="F10" s="2">
        <v>-106</v>
      </c>
      <c r="G10" s="4">
        <f t="shared" si="1"/>
        <v>-3.5333333333333332</v>
      </c>
      <c r="H10" s="4">
        <f>(C10-D10) + E10</f>
        <v>0.5</v>
      </c>
      <c r="I10" s="3">
        <v>49.5</v>
      </c>
      <c r="J10" s="4">
        <f>I10/2 - E10/2</f>
        <v>26.5</v>
      </c>
      <c r="K10" s="4">
        <f>C10-J10</f>
        <v>-5.5</v>
      </c>
      <c r="L10" s="4">
        <f>I10/2 + E10/2</f>
        <v>23</v>
      </c>
      <c r="M10" s="4">
        <f>D10-L10</f>
        <v>-6</v>
      </c>
      <c r="N10" s="4">
        <f t="shared" si="2"/>
        <v>0.46666666666666679</v>
      </c>
      <c r="O10" s="4">
        <f t="shared" si="3"/>
        <v>26.516666666666666</v>
      </c>
      <c r="P10" s="4">
        <f t="shared" si="4"/>
        <v>-5.5166666666666657</v>
      </c>
      <c r="Q10" s="4">
        <f t="shared" si="5"/>
        <v>22.983333333333334</v>
      </c>
      <c r="R10" s="4">
        <f t="shared" si="6"/>
        <v>-5.9833333333333343</v>
      </c>
      <c r="S10" s="2">
        <v>-167</v>
      </c>
      <c r="T10" s="11">
        <f t="shared" si="0"/>
        <v>0.62546816479400746</v>
      </c>
    </row>
    <row r="11" spans="1:20" x14ac:dyDescent="0.2">
      <c r="A11" s="2">
        <v>8</v>
      </c>
      <c r="B11" s="2" t="s">
        <v>43</v>
      </c>
      <c r="C11" s="2">
        <v>0</v>
      </c>
      <c r="D11" s="2">
        <v>34</v>
      </c>
      <c r="E11" s="3">
        <v>16</v>
      </c>
      <c r="F11" s="2">
        <v>-109</v>
      </c>
      <c r="G11" s="4">
        <f t="shared" si="1"/>
        <v>16.609523809523811</v>
      </c>
      <c r="H11" s="4">
        <f>(C11-D11) + E11</f>
        <v>-18</v>
      </c>
      <c r="I11" s="3">
        <v>51</v>
      </c>
      <c r="J11" s="4">
        <f>I11/2 - E11/2</f>
        <v>17.5</v>
      </c>
      <c r="K11" s="4">
        <f>C11-J11</f>
        <v>-17.5</v>
      </c>
      <c r="L11" s="4">
        <f>I11/2 + E11/2</f>
        <v>33.5</v>
      </c>
      <c r="M11" s="4">
        <f>D11-L11</f>
        <v>0.5</v>
      </c>
      <c r="N11" s="4">
        <f t="shared" si="2"/>
        <v>-17.390476190476189</v>
      </c>
      <c r="O11" s="4">
        <f t="shared" si="3"/>
        <v>17.195238095238096</v>
      </c>
      <c r="P11" s="4">
        <f t="shared" si="4"/>
        <v>-17.195238095238096</v>
      </c>
      <c r="Q11" s="4">
        <f t="shared" si="5"/>
        <v>33.804761904761904</v>
      </c>
      <c r="R11" s="4">
        <f t="shared" si="6"/>
        <v>0.19523809523809632</v>
      </c>
      <c r="S11" s="2">
        <v>499</v>
      </c>
      <c r="T11" s="11">
        <f t="shared" si="0"/>
        <v>0.1669449081803005</v>
      </c>
    </row>
    <row r="12" spans="1:20" x14ac:dyDescent="0.2">
      <c r="A12" s="2">
        <v>9</v>
      </c>
      <c r="B12" s="2" t="s">
        <v>71</v>
      </c>
      <c r="C12" s="9">
        <v>30</v>
      </c>
      <c r="D12" s="9">
        <v>23</v>
      </c>
      <c r="E12" s="10">
        <v>3.5</v>
      </c>
      <c r="F12" s="2">
        <v>-113</v>
      </c>
      <c r="G12" s="4">
        <f t="shared" si="1"/>
        <v>3.7666666666666666</v>
      </c>
      <c r="H12" s="4">
        <f>(C12-D12) + E12</f>
        <v>10.5</v>
      </c>
      <c r="I12" s="3">
        <v>42.5</v>
      </c>
      <c r="J12" s="4">
        <f>I12/2 - E12/2</f>
        <v>19.5</v>
      </c>
      <c r="K12" s="4">
        <f>C12-J12</f>
        <v>10.5</v>
      </c>
      <c r="L12" s="4">
        <f>I12/2 + E12/2</f>
        <v>23</v>
      </c>
      <c r="M12" s="4">
        <f>D12-L12</f>
        <v>0</v>
      </c>
      <c r="N12" s="4">
        <f t="shared" si="2"/>
        <v>10.766666666666666</v>
      </c>
      <c r="O12" s="4">
        <f t="shared" si="3"/>
        <v>19.366666666666667</v>
      </c>
      <c r="P12" s="4">
        <f t="shared" si="4"/>
        <v>10.633333333333333</v>
      </c>
      <c r="Q12" s="4">
        <f t="shared" si="5"/>
        <v>23.133333333333333</v>
      </c>
      <c r="R12" s="4">
        <f t="shared" si="6"/>
        <v>-0.13333333333333286</v>
      </c>
      <c r="S12" s="2">
        <v>138</v>
      </c>
      <c r="T12" s="11">
        <f t="shared" si="0"/>
        <v>0.42016806722689076</v>
      </c>
    </row>
    <row r="13" spans="1:20" x14ac:dyDescent="0.2">
      <c r="A13" s="2">
        <v>10</v>
      </c>
      <c r="B13" s="2" t="s">
        <v>131</v>
      </c>
      <c r="C13" s="2">
        <v>30</v>
      </c>
      <c r="D13" s="2">
        <v>34</v>
      </c>
      <c r="E13" s="10">
        <v>10.5</v>
      </c>
      <c r="F13" s="2">
        <v>-109</v>
      </c>
      <c r="G13" s="4">
        <f t="shared" si="1"/>
        <v>10.9</v>
      </c>
      <c r="H13" s="4">
        <f>(C13-D13) + E13</f>
        <v>6.5</v>
      </c>
      <c r="I13" s="3">
        <v>42.5</v>
      </c>
      <c r="J13" s="4">
        <f>I13/2 - E13/2</f>
        <v>16</v>
      </c>
      <c r="K13" s="4">
        <f>C13-J13</f>
        <v>14</v>
      </c>
      <c r="L13" s="4">
        <f>I13/2 + E13/2</f>
        <v>26.5</v>
      </c>
      <c r="M13" s="4">
        <f>D13-L13</f>
        <v>7.5</v>
      </c>
      <c r="N13" s="4">
        <f t="shared" si="2"/>
        <v>6.9</v>
      </c>
      <c r="O13" s="4">
        <f t="shared" si="3"/>
        <v>15.8</v>
      </c>
      <c r="P13" s="4">
        <f t="shared" si="4"/>
        <v>14.2</v>
      </c>
      <c r="Q13" s="4">
        <f t="shared" si="5"/>
        <v>26.7</v>
      </c>
      <c r="R13" s="4">
        <f t="shared" si="6"/>
        <v>7.3000000000000007</v>
      </c>
      <c r="S13" s="2">
        <v>317</v>
      </c>
      <c r="T13" s="11">
        <f t="shared" si="0"/>
        <v>0.23980815347721823</v>
      </c>
    </row>
    <row r="14" spans="1:20" x14ac:dyDescent="0.2">
      <c r="A14" s="2">
        <v>11</v>
      </c>
      <c r="B14" s="2" t="s">
        <v>45</v>
      </c>
      <c r="C14" s="9">
        <v>39</v>
      </c>
      <c r="D14" s="9">
        <v>20</v>
      </c>
      <c r="E14" s="10">
        <v>-9.5</v>
      </c>
      <c r="F14" s="2">
        <v>-110</v>
      </c>
      <c r="G14" s="4">
        <f t="shared" si="1"/>
        <v>-9.9523809523809526</v>
      </c>
      <c r="H14" s="4">
        <f>(C14-D14) + E14</f>
        <v>9.5</v>
      </c>
      <c r="I14" s="3">
        <v>57.5</v>
      </c>
      <c r="J14" s="4">
        <f>I14/2 - E14/2</f>
        <v>33.5</v>
      </c>
      <c r="K14" s="4">
        <f>C14-J14</f>
        <v>5.5</v>
      </c>
      <c r="L14" s="4">
        <f>I14/2 + E14/2</f>
        <v>24</v>
      </c>
      <c r="M14" s="4">
        <f>D14-L14</f>
        <v>-4</v>
      </c>
      <c r="N14" s="4">
        <f t="shared" si="2"/>
        <v>9.0476190476190474</v>
      </c>
      <c r="O14" s="4">
        <f t="shared" si="3"/>
        <v>33.726190476190474</v>
      </c>
      <c r="P14" s="4">
        <f t="shared" si="4"/>
        <v>5.2738095238095255</v>
      </c>
      <c r="Q14" s="4">
        <f t="shared" si="5"/>
        <v>23.773809523809526</v>
      </c>
      <c r="R14" s="4">
        <f t="shared" si="6"/>
        <v>-3.7738095238095255</v>
      </c>
      <c r="S14" s="2">
        <v>-350</v>
      </c>
      <c r="T14" s="11">
        <f t="shared" si="0"/>
        <v>0.77777777777777779</v>
      </c>
    </row>
    <row r="15" spans="1:20" x14ac:dyDescent="0.2">
      <c r="A15" s="2">
        <v>12</v>
      </c>
      <c r="B15" s="2" t="s">
        <v>74</v>
      </c>
      <c r="C15" s="9">
        <v>28</v>
      </c>
      <c r="D15" s="9">
        <v>21</v>
      </c>
      <c r="E15" s="10">
        <v>-3</v>
      </c>
      <c r="F15" s="2">
        <v>-106</v>
      </c>
      <c r="G15" s="4">
        <f t="shared" si="1"/>
        <v>-3.0285714285714285</v>
      </c>
      <c r="H15" s="4">
        <f>(C15-D15) + E15</f>
        <v>4</v>
      </c>
      <c r="I15" s="3">
        <v>51</v>
      </c>
      <c r="J15" s="4">
        <f>I15/2 - E15/2</f>
        <v>27</v>
      </c>
      <c r="K15" s="4">
        <f>C15-J15</f>
        <v>1</v>
      </c>
      <c r="L15" s="4">
        <f>I15/2 + E15/2</f>
        <v>24</v>
      </c>
      <c r="M15" s="4">
        <f>D15-L15</f>
        <v>-3</v>
      </c>
      <c r="N15" s="4">
        <f t="shared" si="2"/>
        <v>3.9714285714285715</v>
      </c>
      <c r="O15" s="4">
        <f t="shared" si="3"/>
        <v>27.014285714285712</v>
      </c>
      <c r="P15" s="4">
        <f t="shared" si="4"/>
        <v>0.98571428571428754</v>
      </c>
      <c r="Q15" s="4">
        <f t="shared" si="5"/>
        <v>23.985714285714288</v>
      </c>
      <c r="R15" s="4">
        <f t="shared" si="6"/>
        <v>-2.9857142857142875</v>
      </c>
      <c r="S15" s="2">
        <v>-146</v>
      </c>
      <c r="T15" s="11">
        <f t="shared" si="0"/>
        <v>0.5934959349593496</v>
      </c>
    </row>
    <row r="17" spans="1:20" s="4" customFormat="1" x14ac:dyDescent="0.2">
      <c r="A17" s="5" t="s">
        <v>25</v>
      </c>
      <c r="C17" s="4">
        <f>SUM(C4:C15)</f>
        <v>349</v>
      </c>
      <c r="D17" s="4">
        <f>SUM(D4:D15)</f>
        <v>241</v>
      </c>
      <c r="E17" s="4">
        <f t="shared" ref="E17:F17" si="7">SUM(E4:E15)</f>
        <v>-125.5</v>
      </c>
      <c r="F17" s="4">
        <f t="shared" si="7"/>
        <v>-1308</v>
      </c>
      <c r="G17" s="4">
        <f>SUM(G4:G15)</f>
        <v>-131.2714285714286</v>
      </c>
      <c r="H17" s="4">
        <f>SUM(H4:H15)</f>
        <v>-17.5</v>
      </c>
      <c r="I17" s="4">
        <f>SUM(I4:I15)</f>
        <v>614</v>
      </c>
      <c r="J17" s="4">
        <f>SUM(J4:J15)</f>
        <v>369.75</v>
      </c>
      <c r="K17" s="4">
        <f>SUM(K4:K15)</f>
        <v>-20.75</v>
      </c>
      <c r="L17" s="4">
        <f>SUM(L4:L15)</f>
        <v>244.25</v>
      </c>
      <c r="M17" s="4">
        <f>SUM(M3:M15)</f>
        <v>-3.25</v>
      </c>
      <c r="N17" s="4">
        <f>SUM(N3:N15)</f>
        <v>-23.271428571428572</v>
      </c>
      <c r="O17" s="4">
        <f>SUM(O3:O15)</f>
        <v>372.63571428571436</v>
      </c>
      <c r="P17" s="4">
        <f>SUM(P3:P15)</f>
        <v>-23.635714285714275</v>
      </c>
      <c r="Q17" s="4">
        <f>SUM(Q3:Q15)</f>
        <v>241.36428571428567</v>
      </c>
      <c r="R17" s="4">
        <f>SUM(R3:R15)</f>
        <v>-0.36428571428571388</v>
      </c>
    </row>
    <row r="18" spans="1:20" s="7" customFormat="1" x14ac:dyDescent="0.2">
      <c r="A18" s="6" t="s">
        <v>26</v>
      </c>
      <c r="C18" s="7">
        <f>AVERAGE(C4:C15)</f>
        <v>29.083333333333332</v>
      </c>
      <c r="D18" s="7">
        <f>AVERAGE(D4:D15)</f>
        <v>20.083333333333332</v>
      </c>
      <c r="E18" s="7">
        <f>AVERAGE(E4:E15)</f>
        <v>-10.458333333333334</v>
      </c>
      <c r="F18" s="7">
        <f>AVERAGE(F4:F15)</f>
        <v>-109</v>
      </c>
      <c r="G18" s="4">
        <f>AVERAGE(G4:G15)</f>
        <v>-10.939285714285717</v>
      </c>
      <c r="H18" s="7">
        <f>AVERAGE(H4:H15)</f>
        <v>-1.4583333333333333</v>
      </c>
      <c r="I18" s="7">
        <f>AVERAGE(I4:I15)</f>
        <v>51.166666666666664</v>
      </c>
      <c r="J18" s="7">
        <f>AVERAGE(J4:J15)</f>
        <v>30.8125</v>
      </c>
      <c r="K18" s="7">
        <f>AVERAGE(K4:K15)</f>
        <v>-1.7291666666666667</v>
      </c>
      <c r="L18" s="7">
        <f>AVERAGE(L4:L15)</f>
        <v>20.354166666666668</v>
      </c>
      <c r="M18" s="7">
        <f>AVERAGE(M4:M15)</f>
        <v>-0.27083333333333331</v>
      </c>
      <c r="N18" s="7">
        <f>AVERAGE(N4:N15)</f>
        <v>-1.9392857142857143</v>
      </c>
      <c r="O18" s="7">
        <f>AVERAGE(O4:O15)</f>
        <v>31.052976190476198</v>
      </c>
      <c r="P18" s="7">
        <f>AVERAGE(P4:P15)</f>
        <v>-1.9696428571428564</v>
      </c>
      <c r="Q18" s="7">
        <f>AVERAGE(Q4:Q15)</f>
        <v>20.113690476190474</v>
      </c>
      <c r="R18" s="7">
        <f>AVERAGE(R4:R15)</f>
        <v>-3.0357142857142822E-2</v>
      </c>
      <c r="S18" s="7">
        <f>AVERAGE(S4:S15)</f>
        <v>-2976.75</v>
      </c>
      <c r="T18" s="8">
        <f>AVERAGE(T4:T16)</f>
        <v>0.66891731204517468</v>
      </c>
    </row>
  </sheetData>
  <pageMargins left="0.7" right="0.7" top="0.75" bottom="0.75" header="0.3" footer="0.3"/>
  <pageSetup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81A6-E2A3-EE47-BADE-E457ED241DEE}">
  <sheetPr>
    <tabColor rgb="FFC00000"/>
  </sheetPr>
  <dimension ref="A1:T46"/>
  <sheetViews>
    <sheetView zoomScale="56" zoomScaleNormal="100" workbookViewId="0">
      <selection activeCell="C19" sqref="C19:R19"/>
    </sheetView>
  </sheetViews>
  <sheetFormatPr baseColWidth="10" defaultColWidth="9.83203125" defaultRowHeight="15" x14ac:dyDescent="0.2"/>
  <cols>
    <col min="1" max="1" width="24.5" style="2" bestFit="1" customWidth="1"/>
    <col min="2" max="2" width="24.33203125" style="2" bestFit="1" customWidth="1"/>
    <col min="3" max="3" width="12.6640625" style="2" bestFit="1" customWidth="1"/>
    <col min="4" max="4" width="23.332031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208</v>
      </c>
      <c r="B1" s="1" t="s">
        <v>209</v>
      </c>
      <c r="C1" s="1" t="s">
        <v>153</v>
      </c>
      <c r="D1" s="1" t="s">
        <v>94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170</v>
      </c>
      <c r="C4" s="9">
        <v>27</v>
      </c>
      <c r="D4" s="9">
        <v>7</v>
      </c>
      <c r="E4" s="10">
        <v>3.5</v>
      </c>
      <c r="F4" s="2">
        <v>-113</v>
      </c>
      <c r="G4" s="4">
        <f>E4*(F4/-105)</f>
        <v>3.7666666666666666</v>
      </c>
      <c r="H4" s="4">
        <f>(C4-D4) + E4</f>
        <v>23.5</v>
      </c>
      <c r="I4" s="3">
        <v>55.5</v>
      </c>
      <c r="J4" s="4">
        <f>I4/2 - E4/2</f>
        <v>26</v>
      </c>
      <c r="K4" s="4">
        <f>C4-J4</f>
        <v>1</v>
      </c>
      <c r="L4" s="4">
        <f>I4/2 + E4/2</f>
        <v>29.5</v>
      </c>
      <c r="M4" s="4">
        <f>D4-L4</f>
        <v>-22.5</v>
      </c>
      <c r="N4" s="4">
        <f>(C4-D4) + G4</f>
        <v>23.766666666666666</v>
      </c>
      <c r="O4" s="4">
        <f>I4/2 - G4/2</f>
        <v>25.866666666666667</v>
      </c>
      <c r="P4" s="4">
        <f>C4-O4</f>
        <v>1.1333333333333329</v>
      </c>
      <c r="Q4" s="4">
        <f>I4/2 + G4/2</f>
        <v>29.633333333333333</v>
      </c>
      <c r="R4" s="4">
        <f>D4-Q4</f>
        <v>-22.633333333333333</v>
      </c>
      <c r="S4" s="2">
        <v>137</v>
      </c>
      <c r="T4" s="11">
        <f t="shared" ref="T4:T16" si="0">IF(S4&gt;0,100/(100+S4),ABS(S4)/(100+ABS(S4)))</f>
        <v>0.4219409282700422</v>
      </c>
    </row>
    <row r="5" spans="1:20" x14ac:dyDescent="0.2">
      <c r="A5" s="2">
        <v>2</v>
      </c>
      <c r="B5" s="2" t="s">
        <v>210</v>
      </c>
      <c r="C5" s="9">
        <v>72</v>
      </c>
      <c r="D5" s="9">
        <v>14</v>
      </c>
      <c r="E5" s="10">
        <v>-41.5</v>
      </c>
      <c r="F5" s="2">
        <v>-110</v>
      </c>
      <c r="G5" s="4">
        <f t="shared" ref="G5:G16" si="1">E5*(F5/-105)</f>
        <v>-43.476190476190482</v>
      </c>
      <c r="H5" s="4">
        <f>(C5-D5) + E5</f>
        <v>16.5</v>
      </c>
      <c r="I5" s="3">
        <v>55.5</v>
      </c>
      <c r="J5" s="4">
        <f>I5/2 - E5/2</f>
        <v>48.5</v>
      </c>
      <c r="K5" s="4">
        <f>C5-J5</f>
        <v>23.5</v>
      </c>
      <c r="L5" s="4">
        <f>I5/2 + E5/2</f>
        <v>7</v>
      </c>
      <c r="M5" s="4">
        <f>D5-L5</f>
        <v>7</v>
      </c>
      <c r="N5" s="4">
        <f t="shared" ref="N5:N16" si="2">(C5-D5) + G5</f>
        <v>14.523809523809518</v>
      </c>
      <c r="O5" s="4">
        <f t="shared" ref="O5:O16" si="3">I5/2 - G5/2</f>
        <v>49.488095238095241</v>
      </c>
      <c r="P5" s="4">
        <f t="shared" ref="P5:P16" si="4">C5-O5</f>
        <v>22.511904761904759</v>
      </c>
      <c r="Q5" s="4">
        <f t="shared" ref="Q5:Q16" si="5">I5/2 + G5/2</f>
        <v>6.0119047619047592</v>
      </c>
      <c r="R5" s="4">
        <f t="shared" ref="R5:R16" si="6">D5-Q5</f>
        <v>7.9880952380952408</v>
      </c>
      <c r="S5" s="2">
        <v>-20000</v>
      </c>
      <c r="T5" s="11">
        <f t="shared" si="0"/>
        <v>0.99502487562189057</v>
      </c>
    </row>
    <row r="6" spans="1:20" x14ac:dyDescent="0.2">
      <c r="A6" s="2">
        <v>3</v>
      </c>
      <c r="B6" s="2" t="s">
        <v>116</v>
      </c>
      <c r="C6" s="9">
        <v>23</v>
      </c>
      <c r="D6" s="9">
        <v>20</v>
      </c>
      <c r="E6" s="10">
        <v>9.5</v>
      </c>
      <c r="F6" s="2">
        <v>-115</v>
      </c>
      <c r="G6" s="4">
        <f t="shared" si="1"/>
        <v>10.404761904761905</v>
      </c>
      <c r="H6" s="4">
        <f>(C6-D6) + E6</f>
        <v>12.5</v>
      </c>
      <c r="I6" s="3">
        <v>57.5</v>
      </c>
      <c r="J6" s="4">
        <f>I6/2 - E6/2</f>
        <v>24</v>
      </c>
      <c r="K6" s="4">
        <f>C6-J6</f>
        <v>-1</v>
      </c>
      <c r="L6" s="4">
        <f>I6/2 + E6/2</f>
        <v>33.5</v>
      </c>
      <c r="M6" s="4">
        <f>D6-L6</f>
        <v>-13.5</v>
      </c>
      <c r="N6" s="4">
        <f t="shared" si="2"/>
        <v>13.404761904761905</v>
      </c>
      <c r="O6" s="4">
        <f t="shared" si="3"/>
        <v>23.547619047619047</v>
      </c>
      <c r="P6" s="4">
        <f t="shared" si="4"/>
        <v>-0.54761904761904745</v>
      </c>
      <c r="Q6" s="4">
        <f t="shared" si="5"/>
        <v>33.952380952380949</v>
      </c>
      <c r="R6" s="4">
        <f t="shared" si="6"/>
        <v>-13.952380952380949</v>
      </c>
      <c r="S6" s="2">
        <v>256</v>
      </c>
      <c r="T6" s="11">
        <f t="shared" si="0"/>
        <v>0.2808988764044944</v>
      </c>
    </row>
    <row r="7" spans="1:20" x14ac:dyDescent="0.2">
      <c r="A7" s="2">
        <v>4</v>
      </c>
      <c r="B7" s="2" t="s">
        <v>211</v>
      </c>
      <c r="C7" s="9">
        <v>59</v>
      </c>
      <c r="D7" s="9">
        <v>14</v>
      </c>
      <c r="E7" s="10">
        <v>-2.5</v>
      </c>
      <c r="F7" s="2">
        <v>-113</v>
      </c>
      <c r="G7" s="4">
        <f t="shared" si="1"/>
        <v>-2.6904761904761902</v>
      </c>
      <c r="H7" s="4">
        <f>(C7-D7) + E7</f>
        <v>42.5</v>
      </c>
      <c r="I7" s="3">
        <v>51</v>
      </c>
      <c r="J7" s="4">
        <f>I7/2 - E7/2</f>
        <v>26.75</v>
      </c>
      <c r="K7" s="4">
        <f>C7-J7</f>
        <v>32.25</v>
      </c>
      <c r="L7" s="4">
        <f>I7/2 + E7/2</f>
        <v>24.25</v>
      </c>
      <c r="M7" s="4">
        <f>D7-L7</f>
        <v>-10.25</v>
      </c>
      <c r="N7" s="4">
        <f t="shared" si="2"/>
        <v>42.30952380952381</v>
      </c>
      <c r="O7" s="4">
        <f t="shared" si="3"/>
        <v>26.845238095238095</v>
      </c>
      <c r="P7" s="4">
        <f t="shared" si="4"/>
        <v>32.154761904761905</v>
      </c>
      <c r="Q7" s="4">
        <f t="shared" si="5"/>
        <v>24.154761904761905</v>
      </c>
      <c r="R7" s="4">
        <f t="shared" si="6"/>
        <v>-10.154761904761905</v>
      </c>
      <c r="S7" s="2">
        <v>-136</v>
      </c>
      <c r="T7" s="11">
        <f t="shared" si="0"/>
        <v>0.57627118644067798</v>
      </c>
    </row>
    <row r="8" spans="1:20" x14ac:dyDescent="0.2">
      <c r="A8" s="2">
        <v>5</v>
      </c>
      <c r="B8" s="2" t="s">
        <v>160</v>
      </c>
      <c r="C8" s="2">
        <v>41</v>
      </c>
      <c r="D8" s="2">
        <v>44</v>
      </c>
      <c r="E8" s="3">
        <v>-5.5</v>
      </c>
      <c r="F8" s="2">
        <v>-110</v>
      </c>
      <c r="G8" s="4">
        <f t="shared" si="1"/>
        <v>-5.7619047619047619</v>
      </c>
      <c r="H8" s="4">
        <f>(C8-D8) + E8</f>
        <v>-8.5</v>
      </c>
      <c r="I8" s="3">
        <v>55.5</v>
      </c>
      <c r="J8" s="4">
        <f>I8/2 - E8/2</f>
        <v>30.5</v>
      </c>
      <c r="K8" s="4">
        <f>C8-J8</f>
        <v>10.5</v>
      </c>
      <c r="L8" s="4">
        <f>I8/2 + E8/2</f>
        <v>25</v>
      </c>
      <c r="M8" s="4">
        <f>D8-L8</f>
        <v>19</v>
      </c>
      <c r="N8" s="4">
        <f t="shared" si="2"/>
        <v>-8.7619047619047628</v>
      </c>
      <c r="O8" s="4">
        <f t="shared" si="3"/>
        <v>30.63095238095238</v>
      </c>
      <c r="P8" s="4">
        <f t="shared" si="4"/>
        <v>10.36904761904762</v>
      </c>
      <c r="Q8" s="4">
        <f t="shared" si="5"/>
        <v>24.86904761904762</v>
      </c>
      <c r="R8" s="4">
        <f t="shared" si="6"/>
        <v>19.13095238095238</v>
      </c>
      <c r="S8" s="2">
        <v>-207</v>
      </c>
      <c r="T8" s="11">
        <f t="shared" si="0"/>
        <v>0.67426710097719866</v>
      </c>
    </row>
    <row r="9" spans="1:20" x14ac:dyDescent="0.2">
      <c r="A9" s="2">
        <v>6</v>
      </c>
      <c r="B9" s="2" t="s">
        <v>98</v>
      </c>
      <c r="C9" s="9">
        <v>50</v>
      </c>
      <c r="D9" s="9">
        <v>34</v>
      </c>
      <c r="E9" s="3">
        <v>-19</v>
      </c>
      <c r="F9" s="2">
        <v>-109</v>
      </c>
      <c r="G9" s="4">
        <f t="shared" si="1"/>
        <v>-19.723809523809525</v>
      </c>
      <c r="H9" s="4">
        <f>(C9-D9) + E9</f>
        <v>-3</v>
      </c>
      <c r="I9" s="3">
        <v>66.5</v>
      </c>
      <c r="J9" s="4">
        <f>I9/2 - E9/2</f>
        <v>42.75</v>
      </c>
      <c r="K9" s="4">
        <f>C9-J9</f>
        <v>7.25</v>
      </c>
      <c r="L9" s="4">
        <f>I9/2 + E9/2</f>
        <v>23.75</v>
      </c>
      <c r="M9" s="4">
        <f>D9-L9</f>
        <v>10.25</v>
      </c>
      <c r="N9" s="4">
        <f t="shared" si="2"/>
        <v>-3.7238095238095248</v>
      </c>
      <c r="O9" s="4">
        <f t="shared" si="3"/>
        <v>43.111904761904761</v>
      </c>
      <c r="P9" s="4">
        <f t="shared" si="4"/>
        <v>6.8880952380952394</v>
      </c>
      <c r="Q9" s="4">
        <f t="shared" si="5"/>
        <v>23.388095238095239</v>
      </c>
      <c r="R9" s="4">
        <f t="shared" si="6"/>
        <v>10.611904761904761</v>
      </c>
      <c r="S9" s="2">
        <v>-1178</v>
      </c>
      <c r="T9" s="11">
        <f t="shared" si="0"/>
        <v>0.92175273865414709</v>
      </c>
    </row>
    <row r="10" spans="1:20" x14ac:dyDescent="0.2">
      <c r="A10" s="2">
        <v>7</v>
      </c>
      <c r="B10" s="2" t="s">
        <v>34</v>
      </c>
      <c r="C10" s="9">
        <v>33</v>
      </c>
      <c r="D10" s="9">
        <v>25</v>
      </c>
      <c r="E10" s="10">
        <v>-6.5</v>
      </c>
      <c r="F10" s="2">
        <v>-112</v>
      </c>
      <c r="G10" s="4">
        <f t="shared" si="1"/>
        <v>-6.9333333333333336</v>
      </c>
      <c r="H10" s="4">
        <f>(C10-D10) + E10</f>
        <v>1.5</v>
      </c>
      <c r="I10" s="3">
        <v>61</v>
      </c>
      <c r="J10" s="4">
        <f>I10/2 - E10/2</f>
        <v>33.75</v>
      </c>
      <c r="K10" s="4">
        <f>C10-J10</f>
        <v>-0.75</v>
      </c>
      <c r="L10" s="4">
        <f>I10/2 + E10/2</f>
        <v>27.25</v>
      </c>
      <c r="M10" s="4">
        <f>D10-L10</f>
        <v>-2.25</v>
      </c>
      <c r="N10" s="4">
        <f t="shared" si="2"/>
        <v>1.0666666666666664</v>
      </c>
      <c r="O10" s="4">
        <f t="shared" si="3"/>
        <v>33.966666666666669</v>
      </c>
      <c r="P10" s="4">
        <f t="shared" si="4"/>
        <v>-0.96666666666666856</v>
      </c>
      <c r="Q10" s="4">
        <f t="shared" si="5"/>
        <v>27.033333333333331</v>
      </c>
      <c r="R10" s="4">
        <f t="shared" si="6"/>
        <v>-2.0333333333333314</v>
      </c>
      <c r="S10" s="2">
        <v>-243</v>
      </c>
      <c r="T10" s="11">
        <f t="shared" si="0"/>
        <v>0.70845481049562686</v>
      </c>
    </row>
    <row r="11" spans="1:20" x14ac:dyDescent="0.2">
      <c r="A11" s="2">
        <v>8</v>
      </c>
      <c r="B11" s="2" t="s">
        <v>33</v>
      </c>
      <c r="C11" s="2">
        <v>24</v>
      </c>
      <c r="D11" s="2">
        <v>29</v>
      </c>
      <c r="E11" s="3">
        <v>4</v>
      </c>
      <c r="F11" s="2">
        <v>-109</v>
      </c>
      <c r="G11" s="4">
        <f t="shared" si="1"/>
        <v>4.1523809523809527</v>
      </c>
      <c r="H11" s="4">
        <f>(C11-D11) + E11</f>
        <v>-1</v>
      </c>
      <c r="I11" s="3">
        <v>64</v>
      </c>
      <c r="J11" s="4">
        <f>I11/2 - E11/2</f>
        <v>30</v>
      </c>
      <c r="K11" s="4">
        <f>C11-J11</f>
        <v>-6</v>
      </c>
      <c r="L11" s="4">
        <f>I11/2 + E11/2</f>
        <v>34</v>
      </c>
      <c r="M11" s="4">
        <f>D11-L11</f>
        <v>-5</v>
      </c>
      <c r="N11" s="4">
        <f t="shared" si="2"/>
        <v>-0.84761904761904727</v>
      </c>
      <c r="O11" s="4">
        <f t="shared" si="3"/>
        <v>29.923809523809524</v>
      </c>
      <c r="P11" s="4">
        <f t="shared" si="4"/>
        <v>-5.9238095238095241</v>
      </c>
      <c r="Q11" s="4">
        <f t="shared" si="5"/>
        <v>34.076190476190476</v>
      </c>
      <c r="R11" s="4">
        <f t="shared" si="6"/>
        <v>-5.0761904761904759</v>
      </c>
      <c r="S11" s="2">
        <v>164</v>
      </c>
      <c r="T11" s="11">
        <f t="shared" si="0"/>
        <v>0.37878787878787878</v>
      </c>
    </row>
    <row r="12" spans="1:20" x14ac:dyDescent="0.2">
      <c r="A12" s="2">
        <v>9</v>
      </c>
      <c r="B12" s="2" t="s">
        <v>99</v>
      </c>
      <c r="C12" s="9">
        <v>29</v>
      </c>
      <c r="D12" s="9">
        <v>27</v>
      </c>
      <c r="E12" s="3">
        <v>-12.5</v>
      </c>
      <c r="F12" s="2">
        <v>-112</v>
      </c>
      <c r="G12" s="4">
        <f t="shared" si="1"/>
        <v>-13.333333333333334</v>
      </c>
      <c r="H12" s="4">
        <f>(C12-D12) + E12</f>
        <v>-10.5</v>
      </c>
      <c r="I12" s="3">
        <v>50.5</v>
      </c>
      <c r="J12" s="4">
        <f>I12/2 - E12/2</f>
        <v>31.5</v>
      </c>
      <c r="K12" s="4">
        <f>C12-J12</f>
        <v>-2.5</v>
      </c>
      <c r="L12" s="4">
        <f>I12/2 + E12/2</f>
        <v>19</v>
      </c>
      <c r="M12" s="4">
        <f>D12-L12</f>
        <v>8</v>
      </c>
      <c r="N12" s="4">
        <f t="shared" si="2"/>
        <v>-11.333333333333334</v>
      </c>
      <c r="O12" s="4">
        <f t="shared" si="3"/>
        <v>31.916666666666668</v>
      </c>
      <c r="P12" s="4">
        <f t="shared" si="4"/>
        <v>-2.9166666666666679</v>
      </c>
      <c r="Q12" s="4">
        <f t="shared" si="5"/>
        <v>18.583333333333332</v>
      </c>
      <c r="R12" s="4">
        <f t="shared" si="6"/>
        <v>8.4166666666666679</v>
      </c>
      <c r="S12" s="2">
        <v>-496</v>
      </c>
      <c r="T12" s="11">
        <f t="shared" si="0"/>
        <v>0.83221476510067116</v>
      </c>
    </row>
    <row r="13" spans="1:20" x14ac:dyDescent="0.2">
      <c r="A13" s="2">
        <v>10</v>
      </c>
      <c r="B13" s="2" t="s">
        <v>101</v>
      </c>
      <c r="C13" s="9">
        <v>41</v>
      </c>
      <c r="D13" s="9">
        <v>20</v>
      </c>
      <c r="E13" s="3">
        <v>-22</v>
      </c>
      <c r="F13" s="2">
        <v>-113</v>
      </c>
      <c r="G13" s="4">
        <f t="shared" si="1"/>
        <v>-23.676190476190474</v>
      </c>
      <c r="H13" s="4">
        <f>(C13-D13) + E13</f>
        <v>-1</v>
      </c>
      <c r="I13" s="3">
        <v>55</v>
      </c>
      <c r="J13" s="4">
        <f>I13/2 - E13/2</f>
        <v>38.5</v>
      </c>
      <c r="K13" s="4">
        <f>C13-J13</f>
        <v>2.5</v>
      </c>
      <c r="L13" s="4">
        <f>I13/2 + E13/2</f>
        <v>16.5</v>
      </c>
      <c r="M13" s="4">
        <f>D13-L13</f>
        <v>3.5</v>
      </c>
      <c r="N13" s="4">
        <f t="shared" si="2"/>
        <v>-2.6761904761904738</v>
      </c>
      <c r="O13" s="4">
        <f t="shared" si="3"/>
        <v>39.338095238095235</v>
      </c>
      <c r="P13" s="4">
        <f t="shared" si="4"/>
        <v>1.6619047619047649</v>
      </c>
      <c r="Q13" s="4">
        <f t="shared" si="5"/>
        <v>15.661904761904763</v>
      </c>
      <c r="R13" s="4">
        <f t="shared" si="6"/>
        <v>4.3380952380952369</v>
      </c>
      <c r="S13" s="2">
        <v>-1928</v>
      </c>
      <c r="T13" s="11">
        <f t="shared" si="0"/>
        <v>0.95069033530571989</v>
      </c>
    </row>
    <row r="14" spans="1:20" x14ac:dyDescent="0.2">
      <c r="A14" s="2">
        <v>11</v>
      </c>
      <c r="B14" s="2" t="s">
        <v>103</v>
      </c>
      <c r="C14" s="9">
        <v>27</v>
      </c>
      <c r="D14" s="9">
        <v>16</v>
      </c>
      <c r="E14" s="10">
        <v>-7.5</v>
      </c>
      <c r="F14" s="2">
        <v>-110</v>
      </c>
      <c r="G14" s="4">
        <f t="shared" si="1"/>
        <v>-7.8571428571428577</v>
      </c>
      <c r="H14" s="4">
        <f>(C14-D14) + E14</f>
        <v>3.5</v>
      </c>
      <c r="I14" s="3">
        <v>59.5</v>
      </c>
      <c r="J14" s="4">
        <f>I14/2 - E14/2</f>
        <v>33.5</v>
      </c>
      <c r="K14" s="4">
        <f>C14-J14</f>
        <v>-6.5</v>
      </c>
      <c r="L14" s="4">
        <f>I14/2 + E14/2</f>
        <v>26</v>
      </c>
      <c r="M14" s="4">
        <f>D14-L14</f>
        <v>-10</v>
      </c>
      <c r="N14" s="4">
        <f t="shared" si="2"/>
        <v>3.1428571428571423</v>
      </c>
      <c r="O14" s="4">
        <f t="shared" si="3"/>
        <v>33.678571428571431</v>
      </c>
      <c r="P14" s="4">
        <f t="shared" si="4"/>
        <v>-6.6785714285714306</v>
      </c>
      <c r="Q14" s="4">
        <f t="shared" si="5"/>
        <v>25.821428571428569</v>
      </c>
      <c r="R14" s="4">
        <f t="shared" si="6"/>
        <v>-9.8214285714285694</v>
      </c>
      <c r="S14" s="2">
        <v>-302</v>
      </c>
      <c r="T14" s="11">
        <f t="shared" si="0"/>
        <v>0.75124378109452739</v>
      </c>
    </row>
    <row r="15" spans="1:20" x14ac:dyDescent="0.2">
      <c r="A15" s="2">
        <v>12</v>
      </c>
      <c r="B15" s="2" t="s">
        <v>102</v>
      </c>
      <c r="C15" s="9">
        <v>38</v>
      </c>
      <c r="D15" s="9">
        <v>14</v>
      </c>
      <c r="E15" s="10">
        <v>-17.5</v>
      </c>
      <c r="F15" s="2">
        <v>-109</v>
      </c>
      <c r="G15" s="4">
        <f t="shared" si="1"/>
        <v>-18.166666666666668</v>
      </c>
      <c r="H15" s="4">
        <f>(C15-D15) + E15</f>
        <v>6.5</v>
      </c>
      <c r="I15" s="3">
        <v>54.5</v>
      </c>
      <c r="J15" s="4">
        <f>I15/2 - E15/2</f>
        <v>36</v>
      </c>
      <c r="K15" s="4">
        <f>C15-J15</f>
        <v>2</v>
      </c>
      <c r="L15" s="4">
        <f>I15/2 + E15/2</f>
        <v>18.5</v>
      </c>
      <c r="M15" s="4">
        <f>D15-L15</f>
        <v>-4.5</v>
      </c>
      <c r="N15" s="4">
        <f t="shared" si="2"/>
        <v>5.8333333333333321</v>
      </c>
      <c r="O15" s="4">
        <f t="shared" si="3"/>
        <v>36.333333333333336</v>
      </c>
      <c r="P15" s="4">
        <f t="shared" si="4"/>
        <v>1.6666666666666643</v>
      </c>
      <c r="Q15" s="4">
        <f t="shared" si="5"/>
        <v>18.166666666666664</v>
      </c>
      <c r="R15" s="4">
        <f t="shared" si="6"/>
        <v>-4.1666666666666643</v>
      </c>
      <c r="S15" s="2">
        <v>-912</v>
      </c>
      <c r="T15" s="11">
        <f t="shared" si="0"/>
        <v>0.90118577075098816</v>
      </c>
    </row>
    <row r="16" spans="1:20" x14ac:dyDescent="0.2">
      <c r="A16" s="2" t="s">
        <v>105</v>
      </c>
      <c r="B16" s="2" t="s">
        <v>33</v>
      </c>
      <c r="C16" s="2">
        <v>7</v>
      </c>
      <c r="D16" s="2">
        <v>21</v>
      </c>
      <c r="E16" s="3">
        <v>4</v>
      </c>
      <c r="F16" s="2">
        <v>-108</v>
      </c>
      <c r="G16" s="4">
        <f t="shared" si="1"/>
        <v>4.1142857142857139</v>
      </c>
      <c r="H16" s="4">
        <f>(C16-D16) + E16</f>
        <v>-10</v>
      </c>
      <c r="I16" s="3">
        <v>57.5</v>
      </c>
      <c r="J16" s="4">
        <f>I16/2 - E16/2</f>
        <v>26.75</v>
      </c>
      <c r="K16" s="4">
        <f>C16-J16</f>
        <v>-19.75</v>
      </c>
      <c r="L16" s="4">
        <f>I16/2 + E16/2</f>
        <v>30.75</v>
      </c>
      <c r="M16" s="4">
        <f>D16-L16</f>
        <v>-9.75</v>
      </c>
      <c r="N16" s="4">
        <f t="shared" si="2"/>
        <v>-9.8857142857142861</v>
      </c>
      <c r="O16" s="4">
        <f t="shared" si="3"/>
        <v>26.692857142857143</v>
      </c>
      <c r="P16" s="4">
        <f t="shared" si="4"/>
        <v>-19.692857142857143</v>
      </c>
      <c r="Q16" s="4">
        <f t="shared" si="5"/>
        <v>30.807142857142857</v>
      </c>
      <c r="R16" s="4">
        <f t="shared" si="6"/>
        <v>-9.8071428571428569</v>
      </c>
      <c r="S16" s="2">
        <v>160</v>
      </c>
      <c r="T16" s="11">
        <f t="shared" si="0"/>
        <v>0.38461538461538464</v>
      </c>
    </row>
    <row r="18" spans="1:20" s="4" customFormat="1" x14ac:dyDescent="0.2">
      <c r="A18" s="5" t="s">
        <v>25</v>
      </c>
      <c r="C18" s="4">
        <f>SUM(C4:C16)</f>
        <v>471</v>
      </c>
      <c r="D18" s="4">
        <f>SUM(D4:D16)</f>
        <v>285</v>
      </c>
      <c r="E18" s="4">
        <f t="shared" ref="E18:F18" si="7">SUM(E4:E16)</f>
        <v>-113.5</v>
      </c>
      <c r="F18" s="4">
        <f t="shared" si="7"/>
        <v>-1443</v>
      </c>
      <c r="G18" s="4">
        <f>SUM(G4:G16)</f>
        <v>-119.18095238095239</v>
      </c>
      <c r="H18" s="4">
        <f>SUM(H4:H16)</f>
        <v>72.5</v>
      </c>
      <c r="I18" s="4">
        <f>SUM(I4:I16)</f>
        <v>743.5</v>
      </c>
      <c r="J18" s="4">
        <f>SUM(J4:J16)</f>
        <v>428.5</v>
      </c>
      <c r="K18" s="4">
        <f>SUM(K4:K16)</f>
        <v>42.5</v>
      </c>
      <c r="L18" s="4">
        <f>SUM(L4:L16)</f>
        <v>315</v>
      </c>
      <c r="M18" s="4">
        <f>SUM(M3:M16)</f>
        <v>-30</v>
      </c>
      <c r="N18" s="4">
        <f t="shared" ref="N18:R18" si="8">SUM(N3:N16)</f>
        <v>66.819047619047609</v>
      </c>
      <c r="O18" s="4">
        <f t="shared" si="8"/>
        <v>431.34047619047624</v>
      </c>
      <c r="P18" s="4">
        <f t="shared" si="8"/>
        <v>39.659523809523805</v>
      </c>
      <c r="Q18" s="4">
        <f t="shared" si="8"/>
        <v>312.15952380952388</v>
      </c>
      <c r="R18" s="4">
        <f t="shared" si="8"/>
        <v>-27.159523809523797</v>
      </c>
    </row>
    <row r="19" spans="1:20" s="7" customFormat="1" x14ac:dyDescent="0.2">
      <c r="A19" s="6" t="s">
        <v>26</v>
      </c>
      <c r="C19" s="7">
        <f t="shared" ref="C19:S19" si="9">AVERAGE(C4:C16)</f>
        <v>36.230769230769234</v>
      </c>
      <c r="D19" s="7">
        <f t="shared" si="9"/>
        <v>21.923076923076923</v>
      </c>
      <c r="E19" s="7">
        <f t="shared" si="9"/>
        <v>-8.7307692307692299</v>
      </c>
      <c r="F19" s="7">
        <f t="shared" si="9"/>
        <v>-111</v>
      </c>
      <c r="G19" s="4">
        <f>AVERAGE(G4:G16)</f>
        <v>-9.1677655677655689</v>
      </c>
      <c r="H19" s="7">
        <f t="shared" si="9"/>
        <v>5.5769230769230766</v>
      </c>
      <c r="I19" s="7">
        <f t="shared" si="9"/>
        <v>57.192307692307693</v>
      </c>
      <c r="J19" s="7">
        <f t="shared" si="9"/>
        <v>32.96153846153846</v>
      </c>
      <c r="K19" s="7">
        <f t="shared" si="9"/>
        <v>3.2692307692307692</v>
      </c>
      <c r="L19" s="7">
        <f t="shared" si="9"/>
        <v>24.23076923076923</v>
      </c>
      <c r="M19" s="7">
        <f t="shared" si="9"/>
        <v>-2.3076923076923075</v>
      </c>
      <c r="N19" s="7">
        <f t="shared" si="9"/>
        <v>5.1399267399267394</v>
      </c>
      <c r="O19" s="7">
        <f t="shared" si="9"/>
        <v>33.180036630036632</v>
      </c>
      <c r="P19" s="7">
        <f t="shared" si="9"/>
        <v>3.0507326007326006</v>
      </c>
      <c r="Q19" s="7">
        <f t="shared" si="9"/>
        <v>24.012271062271068</v>
      </c>
      <c r="R19" s="7">
        <f>AVERAGE(R4:R16)</f>
        <v>-2.0891941391941384</v>
      </c>
      <c r="S19" s="7">
        <f t="shared" si="9"/>
        <v>-1898.8461538461538</v>
      </c>
      <c r="T19" s="8">
        <f>AVERAGE(T4:T17)</f>
        <v>0.67518064865532679</v>
      </c>
    </row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2720-CBA4-AB42-9BBB-F08408D6769F}">
  <sheetPr>
    <tabColor theme="3" tint="0.499984740745262"/>
  </sheetPr>
  <dimension ref="A1:T18"/>
  <sheetViews>
    <sheetView zoomScale="57" zoomScaleNormal="100" workbookViewId="0">
      <selection activeCell="C18" sqref="C18:R18"/>
    </sheetView>
  </sheetViews>
  <sheetFormatPr baseColWidth="10" defaultColWidth="9.83203125" defaultRowHeight="15" x14ac:dyDescent="0.2"/>
  <cols>
    <col min="1" max="1" width="20" style="2" bestFit="1" customWidth="1"/>
    <col min="2" max="2" width="24.33203125" style="2" bestFit="1" customWidth="1"/>
    <col min="3" max="3" width="12.6640625" style="2" bestFit="1" customWidth="1"/>
    <col min="4" max="4" width="14.33203125" style="2" bestFit="1" customWidth="1"/>
    <col min="5" max="5" width="16.5" style="2" bestFit="1" customWidth="1"/>
    <col min="6" max="6" width="14.83203125" style="2" bestFit="1" customWidth="1"/>
    <col min="7" max="7" width="14.5" style="2" bestFit="1" customWidth="1"/>
    <col min="8" max="8" width="32.83203125" style="2" bestFit="1" customWidth="1"/>
    <col min="9" max="9" width="8.5" style="2" bestFit="1" customWidth="1"/>
    <col min="10" max="10" width="22.1640625" style="2" bestFit="1" customWidth="1"/>
    <col min="11" max="11" width="29.83203125" style="2" bestFit="1" customWidth="1"/>
    <col min="12" max="12" width="22.6640625" style="2" bestFit="1" customWidth="1"/>
    <col min="13" max="13" width="33.6640625" style="2" bestFit="1" customWidth="1"/>
    <col min="14" max="14" width="30.83203125" style="2" bestFit="1" customWidth="1"/>
    <col min="15" max="15" width="20.1640625" style="2" bestFit="1" customWidth="1"/>
    <col min="16" max="16" width="28" style="2" bestFit="1" customWidth="1"/>
    <col min="17" max="17" width="20.6640625" style="2" bestFit="1" customWidth="1"/>
    <col min="18" max="18" width="31.83203125" style="2" bestFit="1" customWidth="1"/>
    <col min="19" max="19" width="17.1640625" style="2" bestFit="1" customWidth="1"/>
    <col min="20" max="20" width="18.5" style="2" bestFit="1" customWidth="1"/>
    <col min="21" max="16384" width="9.83203125" style="2"/>
  </cols>
  <sheetData>
    <row r="1" spans="1:20" x14ac:dyDescent="0.2">
      <c r="A1" s="1" t="s">
        <v>212</v>
      </c>
      <c r="B1" s="1" t="s">
        <v>213</v>
      </c>
      <c r="C1" s="1" t="s">
        <v>153</v>
      </c>
      <c r="D1" s="1" t="s">
        <v>177</v>
      </c>
    </row>
    <row r="3" spans="1:2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222</v>
      </c>
      <c r="H3" s="1" t="s">
        <v>227</v>
      </c>
      <c r="I3" s="1" t="s">
        <v>9</v>
      </c>
      <c r="J3" s="1" t="s">
        <v>228</v>
      </c>
      <c r="K3" s="1" t="s">
        <v>229</v>
      </c>
      <c r="L3" s="1" t="s">
        <v>230</v>
      </c>
      <c r="M3" s="1" t="s">
        <v>231</v>
      </c>
      <c r="N3" s="1" t="s">
        <v>226</v>
      </c>
      <c r="O3" s="1" t="s">
        <v>232</v>
      </c>
      <c r="P3" s="1" t="s">
        <v>233</v>
      </c>
      <c r="Q3" s="1" t="s">
        <v>234</v>
      </c>
      <c r="R3" s="1" t="s">
        <v>235</v>
      </c>
      <c r="S3" s="1" t="s">
        <v>10</v>
      </c>
      <c r="T3" s="1" t="s">
        <v>11</v>
      </c>
    </row>
    <row r="4" spans="1:20" x14ac:dyDescent="0.2">
      <c r="A4" s="2">
        <v>1</v>
      </c>
      <c r="B4" s="2" t="s">
        <v>214</v>
      </c>
      <c r="C4" s="9">
        <v>40</v>
      </c>
      <c r="D4" s="9">
        <v>0</v>
      </c>
      <c r="E4" s="10">
        <v>-38</v>
      </c>
      <c r="F4" s="2">
        <v>-111</v>
      </c>
      <c r="G4" s="4">
        <f>E4*(F4/-105)</f>
        <v>-40.171428571428571</v>
      </c>
      <c r="H4" s="4">
        <f>(C4-D4) + E4</f>
        <v>2</v>
      </c>
      <c r="I4" s="3">
        <v>62.5</v>
      </c>
      <c r="J4" s="4">
        <f>I4/2 - E4/2</f>
        <v>50.25</v>
      </c>
      <c r="K4" s="4">
        <f>C4-J4</f>
        <v>-10.25</v>
      </c>
      <c r="L4" s="4">
        <f>I4/2 + E4/2</f>
        <v>12.25</v>
      </c>
      <c r="M4" s="4">
        <f>D4-L4</f>
        <v>-12.25</v>
      </c>
      <c r="N4" s="4">
        <f>(C4-D4) + G4</f>
        <v>-0.17142857142857082</v>
      </c>
      <c r="O4" s="4">
        <f>I4/2 - G4/2</f>
        <v>51.335714285714289</v>
      </c>
      <c r="P4" s="4">
        <f>C4-O4</f>
        <v>-11.335714285714289</v>
      </c>
      <c r="Q4" s="4">
        <f>I4/2 + G4/2</f>
        <v>11.164285714285715</v>
      </c>
      <c r="R4" s="4">
        <f>D4-Q4</f>
        <v>-11.164285714285715</v>
      </c>
      <c r="S4" s="2">
        <v>-20000</v>
      </c>
      <c r="T4" s="11">
        <f t="shared" ref="T4:T15" si="0">IF(S4&gt;0,100/(100+S4),ABS(S4)/(100+ABS(S4)))</f>
        <v>0.99502487562189057</v>
      </c>
    </row>
    <row r="5" spans="1:20" x14ac:dyDescent="0.2">
      <c r="A5" s="2">
        <v>2</v>
      </c>
      <c r="B5" s="2" t="s">
        <v>215</v>
      </c>
      <c r="C5" s="9">
        <v>38</v>
      </c>
      <c r="D5" s="9">
        <v>17</v>
      </c>
      <c r="E5" s="10">
        <v>-18.5</v>
      </c>
      <c r="F5" s="2">
        <v>-108</v>
      </c>
      <c r="G5" s="4">
        <f t="shared" ref="G5:G15" si="1">E5*(F5/-105)</f>
        <v>-19.028571428571425</v>
      </c>
      <c r="H5" s="4">
        <f>(C5-D5) + E5</f>
        <v>2.5</v>
      </c>
      <c r="I5" s="3">
        <v>56</v>
      </c>
      <c r="J5" s="4">
        <f>I5/2 - E5/2</f>
        <v>37.25</v>
      </c>
      <c r="K5" s="4">
        <f>C5-J5</f>
        <v>0.75</v>
      </c>
      <c r="L5" s="4">
        <f>I5/2 + E5/2</f>
        <v>18.75</v>
      </c>
      <c r="M5" s="4">
        <f>D5-L5</f>
        <v>-1.75</v>
      </c>
      <c r="N5" s="4">
        <f t="shared" ref="N5:N15" si="2">(C5-D5) + G5</f>
        <v>1.9714285714285751</v>
      </c>
      <c r="O5" s="4">
        <f t="shared" ref="O5:O15" si="3">I5/2 - G5/2</f>
        <v>37.514285714285712</v>
      </c>
      <c r="P5" s="4">
        <f t="shared" ref="P5:P15" si="4">C5-O5</f>
        <v>0.48571428571428754</v>
      </c>
      <c r="Q5" s="4">
        <f t="shared" ref="Q5:Q15" si="5">I5/2 + G5/2</f>
        <v>18.485714285714288</v>
      </c>
      <c r="R5" s="4">
        <f t="shared" ref="R5:R15" si="6">D5-Q5</f>
        <v>-1.4857142857142875</v>
      </c>
      <c r="S5" s="2">
        <v>-1115</v>
      </c>
      <c r="T5" s="11">
        <f t="shared" si="0"/>
        <v>0.91769547325102885</v>
      </c>
    </row>
    <row r="6" spans="1:20" x14ac:dyDescent="0.2">
      <c r="A6" s="2">
        <v>3</v>
      </c>
      <c r="B6" s="2" t="s">
        <v>62</v>
      </c>
      <c r="C6" s="9">
        <v>20</v>
      </c>
      <c r="D6" s="9">
        <v>12</v>
      </c>
      <c r="E6" s="10">
        <v>6.5</v>
      </c>
      <c r="F6" s="2">
        <v>-107</v>
      </c>
      <c r="G6" s="4">
        <f t="shared" si="1"/>
        <v>6.6238095238095234</v>
      </c>
      <c r="H6" s="4">
        <f>(C6-D6) + E6</f>
        <v>14.5</v>
      </c>
      <c r="I6" s="3">
        <v>54.5</v>
      </c>
      <c r="J6" s="4">
        <f>I6/2 - E6/2</f>
        <v>24</v>
      </c>
      <c r="K6" s="4">
        <f>C6-J6</f>
        <v>-4</v>
      </c>
      <c r="L6" s="4">
        <f>I6/2 + E6/2</f>
        <v>30.5</v>
      </c>
      <c r="M6" s="4">
        <f>D6-L6</f>
        <v>-18.5</v>
      </c>
      <c r="N6" s="4">
        <f t="shared" si="2"/>
        <v>14.623809523809523</v>
      </c>
      <c r="O6" s="4">
        <f t="shared" si="3"/>
        <v>23.938095238095237</v>
      </c>
      <c r="P6" s="4">
        <f t="shared" si="4"/>
        <v>-3.9380952380952365</v>
      </c>
      <c r="Q6" s="4">
        <f t="shared" si="5"/>
        <v>30.561904761904763</v>
      </c>
      <c r="R6" s="4">
        <f t="shared" si="6"/>
        <v>-18.561904761904763</v>
      </c>
      <c r="S6" s="2">
        <v>212</v>
      </c>
      <c r="T6" s="11">
        <f t="shared" si="0"/>
        <v>0.32051282051282054</v>
      </c>
    </row>
    <row r="7" spans="1:20" x14ac:dyDescent="0.2">
      <c r="A7" s="2">
        <v>4</v>
      </c>
      <c r="B7" s="2" t="s">
        <v>61</v>
      </c>
      <c r="C7" s="2">
        <v>44</v>
      </c>
      <c r="D7" s="2">
        <v>56</v>
      </c>
      <c r="E7" s="3">
        <v>-9</v>
      </c>
      <c r="F7" s="2">
        <v>-110</v>
      </c>
      <c r="G7" s="4">
        <f t="shared" si="1"/>
        <v>-9.4285714285714288</v>
      </c>
      <c r="H7" s="4">
        <f>(C7-D7) + E7</f>
        <v>-21</v>
      </c>
      <c r="I7" s="3">
        <v>47</v>
      </c>
      <c r="J7" s="4">
        <f>I7/2 - E7/2</f>
        <v>28</v>
      </c>
      <c r="K7" s="4">
        <f>C7-J7</f>
        <v>16</v>
      </c>
      <c r="L7" s="4">
        <f>I7/2 + E7/2</f>
        <v>19</v>
      </c>
      <c r="M7" s="4">
        <f>D7-L7</f>
        <v>37</v>
      </c>
      <c r="N7" s="4">
        <f t="shared" si="2"/>
        <v>-21.428571428571431</v>
      </c>
      <c r="O7" s="4">
        <f t="shared" si="3"/>
        <v>28.214285714285715</v>
      </c>
      <c r="P7" s="4">
        <f t="shared" si="4"/>
        <v>15.785714285714285</v>
      </c>
      <c r="Q7" s="4">
        <f t="shared" si="5"/>
        <v>18.785714285714285</v>
      </c>
      <c r="R7" s="4">
        <f t="shared" si="6"/>
        <v>37.214285714285715</v>
      </c>
      <c r="S7" s="2">
        <v>-351</v>
      </c>
      <c r="T7" s="11">
        <f t="shared" si="0"/>
        <v>0.7782705099778271</v>
      </c>
    </row>
    <row r="8" spans="1:20" x14ac:dyDescent="0.2">
      <c r="A8" s="2">
        <v>5</v>
      </c>
      <c r="B8" s="2" t="s">
        <v>164</v>
      </c>
      <c r="C8" s="9">
        <v>24</v>
      </c>
      <c r="D8" s="9">
        <v>7</v>
      </c>
      <c r="E8" s="3">
        <v>-27</v>
      </c>
      <c r="F8" s="2">
        <v>-110</v>
      </c>
      <c r="G8" s="4">
        <f t="shared" si="1"/>
        <v>-28.285714285714288</v>
      </c>
      <c r="H8" s="4">
        <f>(C8-D8) + E8</f>
        <v>-10</v>
      </c>
      <c r="I8" s="3">
        <v>61.5</v>
      </c>
      <c r="J8" s="4">
        <f>I8/2 - E8/2</f>
        <v>44.25</v>
      </c>
      <c r="K8" s="4">
        <f>C8-J8</f>
        <v>-20.25</v>
      </c>
      <c r="L8" s="4">
        <f>I8/2 + E8/2</f>
        <v>17.25</v>
      </c>
      <c r="M8" s="4">
        <f>D8-L8</f>
        <v>-10.25</v>
      </c>
      <c r="N8" s="4">
        <f t="shared" si="2"/>
        <v>-11.285714285714288</v>
      </c>
      <c r="O8" s="4">
        <f t="shared" si="3"/>
        <v>44.892857142857146</v>
      </c>
      <c r="P8" s="4">
        <f t="shared" si="4"/>
        <v>-20.892857142857146</v>
      </c>
      <c r="Q8" s="4">
        <f t="shared" si="5"/>
        <v>16.607142857142854</v>
      </c>
      <c r="R8" s="4">
        <f t="shared" si="6"/>
        <v>-9.6071428571428541</v>
      </c>
      <c r="S8" s="2">
        <v>-4366</v>
      </c>
      <c r="T8" s="11">
        <f t="shared" si="0"/>
        <v>0.97760859829825342</v>
      </c>
    </row>
    <row r="9" spans="1:20" x14ac:dyDescent="0.2">
      <c r="A9" s="2">
        <v>6</v>
      </c>
      <c r="B9" s="2" t="s">
        <v>130</v>
      </c>
      <c r="C9" s="9">
        <v>21</v>
      </c>
      <c r="D9" s="9">
        <v>3</v>
      </c>
      <c r="E9" s="10">
        <v>-10</v>
      </c>
      <c r="F9" s="2">
        <v>-113</v>
      </c>
      <c r="G9" s="4">
        <f t="shared" si="1"/>
        <v>-10.761904761904761</v>
      </c>
      <c r="H9" s="4">
        <f>(C9-D9) + E9</f>
        <v>8</v>
      </c>
      <c r="I9" s="3">
        <v>60.5</v>
      </c>
      <c r="J9" s="4">
        <f>I9/2 - E9/2</f>
        <v>35.25</v>
      </c>
      <c r="K9" s="4">
        <f>C9-J9</f>
        <v>-14.25</v>
      </c>
      <c r="L9" s="4">
        <f>I9/2 + E9/2</f>
        <v>25.25</v>
      </c>
      <c r="M9" s="4">
        <f>D9-L9</f>
        <v>-22.25</v>
      </c>
      <c r="N9" s="4">
        <f t="shared" si="2"/>
        <v>7.238095238095239</v>
      </c>
      <c r="O9" s="4">
        <f t="shared" si="3"/>
        <v>35.63095238095238</v>
      </c>
      <c r="P9" s="4">
        <f t="shared" si="4"/>
        <v>-14.63095238095238</v>
      </c>
      <c r="Q9" s="4">
        <f t="shared" si="5"/>
        <v>24.86904761904762</v>
      </c>
      <c r="R9" s="4">
        <f t="shared" si="6"/>
        <v>-21.86904761904762</v>
      </c>
      <c r="S9" s="2">
        <v>-345</v>
      </c>
      <c r="T9" s="11">
        <f t="shared" si="0"/>
        <v>0.7752808988764045</v>
      </c>
    </row>
    <row r="10" spans="1:20" x14ac:dyDescent="0.2">
      <c r="A10" s="2">
        <v>7</v>
      </c>
      <c r="B10" s="2" t="s">
        <v>186</v>
      </c>
      <c r="C10" s="9">
        <v>52</v>
      </c>
      <c r="D10" s="9">
        <v>44</v>
      </c>
      <c r="E10" s="3">
        <v>-11</v>
      </c>
      <c r="F10" s="2">
        <v>-110</v>
      </c>
      <c r="G10" s="4">
        <f t="shared" si="1"/>
        <v>-11.523809523809524</v>
      </c>
      <c r="H10" s="4">
        <f>(C10-D10) + E10</f>
        <v>-3</v>
      </c>
      <c r="I10" s="3">
        <v>68</v>
      </c>
      <c r="J10" s="4">
        <f>I10/2 - E10/2</f>
        <v>39.5</v>
      </c>
      <c r="K10" s="4">
        <f>C10-J10</f>
        <v>12.5</v>
      </c>
      <c r="L10" s="4">
        <f>I10/2 + E10/2</f>
        <v>28.5</v>
      </c>
      <c r="M10" s="4">
        <f>D10-L10</f>
        <v>15.5</v>
      </c>
      <c r="N10" s="4">
        <f t="shared" si="2"/>
        <v>-3.5238095238095237</v>
      </c>
      <c r="O10" s="4">
        <f t="shared" si="3"/>
        <v>39.761904761904759</v>
      </c>
      <c r="P10" s="4">
        <f t="shared" si="4"/>
        <v>12.238095238095241</v>
      </c>
      <c r="Q10" s="4">
        <f t="shared" si="5"/>
        <v>28.238095238095237</v>
      </c>
      <c r="R10" s="4">
        <f t="shared" si="6"/>
        <v>15.761904761904763</v>
      </c>
      <c r="S10" s="2">
        <v>-403</v>
      </c>
      <c r="T10" s="11">
        <f t="shared" si="0"/>
        <v>0.80119284294234594</v>
      </c>
    </row>
    <row r="11" spans="1:20" x14ac:dyDescent="0.2">
      <c r="A11" s="2">
        <v>8</v>
      </c>
      <c r="B11" s="2" t="s">
        <v>108</v>
      </c>
      <c r="C11" s="9">
        <v>33</v>
      </c>
      <c r="D11" s="9">
        <v>28</v>
      </c>
      <c r="E11" s="3">
        <v>-17</v>
      </c>
      <c r="F11" s="2">
        <v>-110</v>
      </c>
      <c r="G11" s="4">
        <f t="shared" si="1"/>
        <v>-17.80952380952381</v>
      </c>
      <c r="H11" s="4">
        <f>(C11-D11) + E11</f>
        <v>-12</v>
      </c>
      <c r="I11" s="3">
        <v>56.5</v>
      </c>
      <c r="J11" s="4">
        <f>I11/2 - E11/2</f>
        <v>36.75</v>
      </c>
      <c r="K11" s="4">
        <f>C11-J11</f>
        <v>-3.75</v>
      </c>
      <c r="L11" s="4">
        <f>I11/2 + E11/2</f>
        <v>19.75</v>
      </c>
      <c r="M11" s="4">
        <f>D11-L11</f>
        <v>8.25</v>
      </c>
      <c r="N11" s="4">
        <f t="shared" si="2"/>
        <v>-12.80952380952381</v>
      </c>
      <c r="O11" s="4">
        <f t="shared" si="3"/>
        <v>37.154761904761905</v>
      </c>
      <c r="P11" s="4">
        <f t="shared" si="4"/>
        <v>-4.1547619047619051</v>
      </c>
      <c r="Q11" s="4">
        <f t="shared" si="5"/>
        <v>19.345238095238095</v>
      </c>
      <c r="R11" s="4">
        <f t="shared" si="6"/>
        <v>8.6547619047619051</v>
      </c>
      <c r="S11" s="2">
        <v>-875</v>
      </c>
      <c r="T11" s="11">
        <f t="shared" si="0"/>
        <v>0.89743589743589747</v>
      </c>
    </row>
    <row r="12" spans="1:20" x14ac:dyDescent="0.2">
      <c r="A12" s="2">
        <v>9</v>
      </c>
      <c r="B12" s="2" t="s">
        <v>69</v>
      </c>
      <c r="C12" s="2">
        <v>36</v>
      </c>
      <c r="D12" s="2">
        <v>44</v>
      </c>
      <c r="E12" s="3">
        <v>-7</v>
      </c>
      <c r="F12" s="2">
        <v>-114</v>
      </c>
      <c r="G12" s="4">
        <f t="shared" si="1"/>
        <v>-7.6</v>
      </c>
      <c r="H12" s="4">
        <f>(C12-D12) + E12</f>
        <v>-15</v>
      </c>
      <c r="I12" s="3">
        <v>62</v>
      </c>
      <c r="J12" s="4">
        <f>I12/2 - E12/2</f>
        <v>34.5</v>
      </c>
      <c r="K12" s="4">
        <f>C12-J12</f>
        <v>1.5</v>
      </c>
      <c r="L12" s="4">
        <f>I12/2 + E12/2</f>
        <v>27.5</v>
      </c>
      <c r="M12" s="4">
        <f>D12-L12</f>
        <v>16.5</v>
      </c>
      <c r="N12" s="4">
        <f t="shared" si="2"/>
        <v>-15.6</v>
      </c>
      <c r="O12" s="4">
        <f t="shared" si="3"/>
        <v>34.799999999999997</v>
      </c>
      <c r="P12" s="4">
        <f t="shared" si="4"/>
        <v>1.2000000000000028</v>
      </c>
      <c r="Q12" s="4">
        <f t="shared" si="5"/>
        <v>27.2</v>
      </c>
      <c r="R12" s="4">
        <f t="shared" si="6"/>
        <v>16.8</v>
      </c>
      <c r="S12" s="2">
        <v>-264</v>
      </c>
      <c r="T12" s="11">
        <f t="shared" si="0"/>
        <v>0.72527472527472525</v>
      </c>
    </row>
    <row r="13" spans="1:20" x14ac:dyDescent="0.2">
      <c r="A13" s="2">
        <v>10</v>
      </c>
      <c r="B13" s="2" t="s">
        <v>180</v>
      </c>
      <c r="C13" s="9">
        <v>27</v>
      </c>
      <c r="D13" s="9">
        <v>20</v>
      </c>
      <c r="E13" s="3">
        <v>-7</v>
      </c>
      <c r="F13" s="2">
        <v>-112</v>
      </c>
      <c r="G13" s="4">
        <f t="shared" si="1"/>
        <v>-7.4666666666666668</v>
      </c>
      <c r="H13" s="4">
        <f>(C13-D13) + E13</f>
        <v>0</v>
      </c>
      <c r="I13" s="3">
        <v>50.5</v>
      </c>
      <c r="J13" s="4">
        <f>I13/2 - E13/2</f>
        <v>28.75</v>
      </c>
      <c r="K13" s="4">
        <f>C13-J13</f>
        <v>-1.75</v>
      </c>
      <c r="L13" s="4">
        <f>I13/2 + E13/2</f>
        <v>21.75</v>
      </c>
      <c r="M13" s="4">
        <f>D13-L13</f>
        <v>-1.75</v>
      </c>
      <c r="N13" s="4">
        <f t="shared" si="2"/>
        <v>-0.46666666666666679</v>
      </c>
      <c r="O13" s="4">
        <f t="shared" si="3"/>
        <v>28.983333333333334</v>
      </c>
      <c r="P13" s="4">
        <f t="shared" si="4"/>
        <v>-1.9833333333333343</v>
      </c>
      <c r="Q13" s="4">
        <f t="shared" si="5"/>
        <v>21.516666666666666</v>
      </c>
      <c r="R13" s="4">
        <f t="shared" si="6"/>
        <v>-1.5166666666666657</v>
      </c>
      <c r="S13" s="2">
        <v>-302</v>
      </c>
      <c r="T13" s="11">
        <f t="shared" si="0"/>
        <v>0.75124378109452739</v>
      </c>
    </row>
    <row r="14" spans="1:20" x14ac:dyDescent="0.2">
      <c r="A14" s="2">
        <v>11</v>
      </c>
      <c r="B14" s="2" t="s">
        <v>183</v>
      </c>
      <c r="C14" s="9">
        <v>53</v>
      </c>
      <c r="D14" s="9">
        <v>18</v>
      </c>
      <c r="E14" s="10">
        <v>-16</v>
      </c>
      <c r="F14" s="2">
        <v>-110</v>
      </c>
      <c r="G14" s="4">
        <f t="shared" si="1"/>
        <v>-16.761904761904763</v>
      </c>
      <c r="H14" s="4">
        <f>(C14-D14) + E14</f>
        <v>19</v>
      </c>
      <c r="I14" s="3">
        <v>62.5</v>
      </c>
      <c r="J14" s="4">
        <f>I14/2 - E14/2</f>
        <v>39.25</v>
      </c>
      <c r="K14" s="4">
        <f>C14-J14</f>
        <v>13.75</v>
      </c>
      <c r="L14" s="4">
        <f>I14/2 + E14/2</f>
        <v>23.25</v>
      </c>
      <c r="M14" s="4">
        <f>D14-L14</f>
        <v>-5.25</v>
      </c>
      <c r="N14" s="4">
        <f t="shared" si="2"/>
        <v>18.238095238095237</v>
      </c>
      <c r="O14" s="4">
        <f t="shared" si="3"/>
        <v>39.63095238095238</v>
      </c>
      <c r="P14" s="4">
        <f t="shared" si="4"/>
        <v>13.36904761904762</v>
      </c>
      <c r="Q14" s="4">
        <f t="shared" si="5"/>
        <v>22.86904761904762</v>
      </c>
      <c r="R14" s="4">
        <f t="shared" si="6"/>
        <v>-4.8690476190476204</v>
      </c>
      <c r="S14" s="2">
        <v>-738</v>
      </c>
      <c r="T14" s="11">
        <f t="shared" si="0"/>
        <v>0.88066825775656321</v>
      </c>
    </row>
    <row r="15" spans="1:20" x14ac:dyDescent="0.2">
      <c r="A15" s="2">
        <v>12</v>
      </c>
      <c r="B15" s="2" t="s">
        <v>189</v>
      </c>
      <c r="C15" s="9">
        <v>34</v>
      </c>
      <c r="D15" s="9">
        <v>24</v>
      </c>
      <c r="E15" s="10">
        <v>13.5</v>
      </c>
      <c r="F15" s="2">
        <v>-112</v>
      </c>
      <c r="G15" s="4">
        <f t="shared" si="1"/>
        <v>14.4</v>
      </c>
      <c r="H15" s="4">
        <f>(C15-D15) + E15</f>
        <v>23.5</v>
      </c>
      <c r="I15" s="3">
        <v>54</v>
      </c>
      <c r="J15" s="4">
        <f>I15/2 - E15/2</f>
        <v>20.25</v>
      </c>
      <c r="K15" s="4">
        <f>C15-J15</f>
        <v>13.75</v>
      </c>
      <c r="L15" s="4">
        <f>I15/2 + E15/2</f>
        <v>33.75</v>
      </c>
      <c r="M15" s="4">
        <f>D15-L15</f>
        <v>-9.75</v>
      </c>
      <c r="N15" s="4">
        <f t="shared" si="2"/>
        <v>24.4</v>
      </c>
      <c r="O15" s="4">
        <f t="shared" si="3"/>
        <v>19.8</v>
      </c>
      <c r="P15" s="4">
        <f t="shared" si="4"/>
        <v>14.2</v>
      </c>
      <c r="Q15" s="4">
        <f t="shared" si="5"/>
        <v>34.200000000000003</v>
      </c>
      <c r="R15" s="4">
        <f t="shared" si="6"/>
        <v>-10.200000000000003</v>
      </c>
      <c r="S15" s="2">
        <v>412</v>
      </c>
      <c r="T15" s="11">
        <f t="shared" si="0"/>
        <v>0.1953125</v>
      </c>
    </row>
    <row r="17" spans="1:20" s="4" customFormat="1" x14ac:dyDescent="0.2">
      <c r="A17" s="5" t="s">
        <v>25</v>
      </c>
      <c r="C17" s="4">
        <f>SUM(C4:C15)</f>
        <v>422</v>
      </c>
      <c r="D17" s="4">
        <f>SUM(D4:D15)</f>
        <v>273</v>
      </c>
      <c r="E17" s="4">
        <f t="shared" ref="E17:F17" si="7">SUM(E4:E15)</f>
        <v>-140.5</v>
      </c>
      <c r="F17" s="4">
        <f t="shared" si="7"/>
        <v>-1327</v>
      </c>
      <c r="G17" s="4">
        <f>SUM(G4:G15)</f>
        <v>-147.81428571428572</v>
      </c>
      <c r="H17" s="4">
        <f>SUM(H4:H15)</f>
        <v>8.5</v>
      </c>
      <c r="I17" s="4">
        <f>SUM(I4:I15)</f>
        <v>695.5</v>
      </c>
      <c r="J17" s="4">
        <f>SUM(J4:J15)</f>
        <v>418</v>
      </c>
      <c r="K17" s="4">
        <f>SUM(K4:K15)</f>
        <v>4</v>
      </c>
      <c r="L17" s="4">
        <f>SUM(L4:L15)</f>
        <v>277.5</v>
      </c>
      <c r="M17" s="4">
        <f>SUM(M3:M15)</f>
        <v>-4.5</v>
      </c>
      <c r="N17" s="4">
        <f>SUM(N3:N15)</f>
        <v>1.1857142857142797</v>
      </c>
      <c r="O17" s="4">
        <f>SUM(O3:O15)</f>
        <v>421.6571428571429</v>
      </c>
      <c r="P17" s="4">
        <f>SUM(P3:P15)</f>
        <v>0.34285714285714519</v>
      </c>
      <c r="Q17" s="4">
        <f>SUM(Q3:Q15)</f>
        <v>273.84285714285716</v>
      </c>
      <c r="R17" s="4">
        <f>SUM(R3:R15)</f>
        <v>-0.84285714285714519</v>
      </c>
    </row>
    <row r="18" spans="1:20" s="7" customFormat="1" x14ac:dyDescent="0.2">
      <c r="A18" s="6" t="s">
        <v>26</v>
      </c>
      <c r="C18" s="7">
        <f>AVERAGE(C4:C15)</f>
        <v>35.166666666666664</v>
      </c>
      <c r="D18" s="7">
        <f>AVERAGE(D4:D15)</f>
        <v>22.75</v>
      </c>
      <c r="E18" s="7">
        <f>AVERAGE(E4:E15)</f>
        <v>-11.708333333333334</v>
      </c>
      <c r="F18" s="7">
        <f>AVERAGE(F4:F15)</f>
        <v>-110.58333333333333</v>
      </c>
      <c r="G18" s="4">
        <f>AVERAGE(G4:G15)</f>
        <v>-12.317857142857143</v>
      </c>
      <c r="H18" s="7">
        <f>AVERAGE(H4:H15)</f>
        <v>0.70833333333333337</v>
      </c>
      <c r="I18" s="7">
        <f>AVERAGE(I4:I15)</f>
        <v>57.958333333333336</v>
      </c>
      <c r="J18" s="7">
        <f>AVERAGE(J4:J15)</f>
        <v>34.833333333333336</v>
      </c>
      <c r="K18" s="7">
        <f>AVERAGE(K4:K15)</f>
        <v>0.33333333333333331</v>
      </c>
      <c r="L18" s="7">
        <f>AVERAGE(L4:L15)</f>
        <v>23.125</v>
      </c>
      <c r="M18" s="7">
        <f>AVERAGE(M4:M15)</f>
        <v>-0.375</v>
      </c>
      <c r="N18" s="7">
        <f>AVERAGE(N4:N15)</f>
        <v>9.8809523809523306E-2</v>
      </c>
      <c r="O18" s="7">
        <f>AVERAGE(O4:O15)</f>
        <v>35.138095238095239</v>
      </c>
      <c r="P18" s="7">
        <f>AVERAGE(P4:P15)</f>
        <v>2.8571428571428765E-2</v>
      </c>
      <c r="Q18" s="7">
        <f>AVERAGE(Q4:Q15)</f>
        <v>22.820238095238096</v>
      </c>
      <c r="R18" s="7">
        <f>AVERAGE(R4:R15)</f>
        <v>-7.0238095238095433E-2</v>
      </c>
      <c r="S18" s="7">
        <f>AVERAGE(S4:S15)</f>
        <v>-2344.5833333333335</v>
      </c>
      <c r="T18" s="8">
        <f>AVERAGE(T4:T16)</f>
        <v>0.7512934317535237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Master</vt:lpstr>
      <vt:lpstr>Re-Rankings</vt:lpstr>
      <vt:lpstr>Synthesis - Total</vt:lpstr>
      <vt:lpstr>Synthesis - Average</vt:lpstr>
      <vt:lpstr>Totals_Playoff</vt:lpstr>
      <vt:lpstr>Totals_NonPlayoff</vt:lpstr>
      <vt:lpstr>Average_Playoff</vt:lpstr>
      <vt:lpstr>Average_NonPlayoff</vt:lpstr>
      <vt:lpstr>OREGON</vt:lpstr>
      <vt:lpstr>GEORGIA</vt:lpstr>
      <vt:lpstr>NOTRE DAME</vt:lpstr>
      <vt:lpstr>TEXAS</vt:lpstr>
      <vt:lpstr>PENN STATE</vt:lpstr>
      <vt:lpstr>OHIO STATE</vt:lpstr>
      <vt:lpstr>TENNESSEE</vt:lpstr>
      <vt:lpstr>BOISE STATE</vt:lpstr>
      <vt:lpstr>INDIANA</vt:lpstr>
      <vt:lpstr>ASU</vt:lpstr>
      <vt:lpstr>ALABAMA</vt:lpstr>
      <vt:lpstr>SMU</vt:lpstr>
      <vt:lpstr>CLEMSON</vt:lpstr>
      <vt:lpstr>SOUTH CAROLINA</vt:lpstr>
      <vt:lpstr>MIAMI</vt:lpstr>
      <vt:lpstr>OLE MISS</vt:lpstr>
      <vt:lpstr>BYU</vt:lpstr>
      <vt:lpstr>IOWA STATE</vt:lpstr>
      <vt:lpstr>ARMY</vt:lpstr>
      <vt:lpstr>COLORADO</vt:lpstr>
      <vt:lpstr>ILLINOIS</vt:lpstr>
      <vt:lpstr>SYRACUSE</vt:lpstr>
      <vt:lpstr>MISSOURI</vt:lpstr>
      <vt:lpstr>UNLV</vt:lpstr>
      <vt:lpstr>MEMPHIS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Tuatini, Jared</dc:creator>
  <cp:lastModifiedBy>Tuatini, Jared</cp:lastModifiedBy>
  <dcterms:created xsi:type="dcterms:W3CDTF">2025-01-30T22:34:04Z</dcterms:created>
  <dcterms:modified xsi:type="dcterms:W3CDTF">2025-04-03T15:05:13Z</dcterms:modified>
</cp:coreProperties>
</file>